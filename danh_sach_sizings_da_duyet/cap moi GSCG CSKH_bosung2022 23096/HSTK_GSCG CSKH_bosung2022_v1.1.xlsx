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sdx" ContentType="application/vnd.ms-visio.drawing"/>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CallMonitorProject\Sizing bổ sung 2022\"/>
    </mc:Choice>
  </mc:AlternateContent>
  <bookViews>
    <workbookView xWindow="0" yWindow="0" windowWidth="28800" windowHeight="12180" tabRatio="500" activeTab="3"/>
  </bookViews>
  <sheets>
    <sheet name="Index" sheetId="1" state="hidden" r:id="rId1"/>
    <sheet name="Mô hình" sheetId="2" state="hidden" r:id="rId2"/>
    <sheet name="Index_" sheetId="3" r:id="rId3"/>
    <sheet name="Mo hinh" sheetId="4" r:id="rId4"/>
    <sheet name="server ảo hóa" sheetId="5" r:id="rId5"/>
    <sheet name="Server Vật lý" sheetId="10" r:id="rId6"/>
    <sheet name="FW_LB" sheetId="11" r:id="rId7"/>
    <sheet name="Server ao hoa" sheetId="7" state="hidden" r:id="rId8"/>
    <sheet name="Cài đặt server" sheetId="8" state="hidden" r:id="rId9"/>
  </sheets>
  <definedNames>
    <definedName name="_Toc115879732" localSheetId="3">'Mo hinh'!#REF!</definedName>
    <definedName name="_Toc116393137" localSheetId="3">'Mo hinh'!#REF!</definedName>
  </definedNames>
  <calcPr calcId="162913"/>
</workbook>
</file>

<file path=xl/calcChain.xml><?xml version="1.0" encoding="utf-8"?>
<calcChain xmlns="http://schemas.openxmlformats.org/spreadsheetml/2006/main">
  <c r="A9" i="8" l="1"/>
  <c r="A7" i="8"/>
  <c r="A6" i="8"/>
  <c r="A4" i="8"/>
</calcChain>
</file>

<file path=xl/sharedStrings.xml><?xml version="1.0" encoding="utf-8"?>
<sst xmlns="http://schemas.openxmlformats.org/spreadsheetml/2006/main" count="255" uniqueCount="134">
  <si>
    <t>1. Tổng quan hệ thống (*)</t>
  </si>
  <si>
    <t>STT</t>
  </si>
  <si>
    <t>Hạng mục</t>
  </si>
  <si>
    <t xml:space="preserve">Thông tin yêu cầu </t>
  </si>
  <si>
    <t>Tổng quan hệ thống</t>
  </si>
  <si>
    <t xml:space="preserve">Hệ thống Chatbot mBCCS là phần mềm trợ lý ảo hỗ trợ nhân viên thuộc các kênh của Viettel Telecom tra cứu, thực hiện các nghiệp vụ trên các nhóm thông tin:
• Nhóm thông tin về phí bán hàng
• Nhóm thông tin về quy trình nghiệp vụ của tất cả 6 kênh
• Nhóm thông tin về hành vi tiêu dùng của khách hàng và các chính sách
• Thông tin về chương trình khuyến mại và gói cước cho từng khách hàng
• Nhóm thông tin liên quan đến xử lý báo hỏng 
</t>
  </si>
  <si>
    <t>Các module và chức năng</t>
  </si>
  <si>
    <r>
      <rPr>
        <sz val="10"/>
        <color rgb="FF000000"/>
        <rFont val="Times New Roman"/>
        <family val="1"/>
      </rPr>
      <t xml:space="preserve">- Cụm Bot Gateway: Là Gateway giao tiếp từ chat client vào hệ thống chatbot
- Cụm Business Adapter: Là trung gian giao tiếp của hệ thống bot với các hệ thống Backend của Viettel để lấy thông tin phục vụ cho chatbot trả lời các câu hỏi.
</t>
    </r>
    <r>
      <rPr>
        <sz val="10"/>
        <color rgb="FFFF0000"/>
        <rFont val="Times New Roman"/>
        <family val="1"/>
      </rPr>
      <t xml:space="preserve">- Cụm Platform của Bot Core: [Anh BachPX3 điền giúp em chức năng nhiệm vụ]
- Cụm Engine của Bot Core:  [Anh BachPX3 điền giúp em chức năng nhiệm vụ]
</t>
    </r>
    <r>
      <rPr>
        <sz val="10"/>
        <color rgb="FF000000"/>
        <rFont val="Times New Roman"/>
        <family val="1"/>
      </rPr>
      <t xml:space="preserve">- Cụm Database MariaDB: Lưu trữ dữ liệu của hệ thống Core AI và hệ thống Bot Gateway + Business Adapter
- Cụm Elasticsearch/ELK/ShareHDD/Redis: Cài đặt Elastisearch, redis, ShareHDD để lưu model của core AI và các file dùng chung khác
</t>
    </r>
  </si>
  <si>
    <t>4. Mô hình đấu nối hệ thống (*)</t>
  </si>
  <si>
    <t>Danh mục hợp đồng</t>
  </si>
  <si>
    <t>Giải pháp/công nghệ đặc thù (option)</t>
  </si>
  <si>
    <t>2. Mô hình hệ thống</t>
  </si>
  <si>
    <t>Mô hình vật lý</t>
  </si>
  <si>
    <t>Mô hình logic</t>
  </si>
  <si>
    <t>3. Chi tiết cài đặt máy chủ ảo hóa (*)</t>
  </si>
  <si>
    <t>Tên dự án</t>
  </si>
  <si>
    <t>Module</t>
  </si>
  <si>
    <t>Cấu hình</t>
  </si>
  <si>
    <t>Hostname</t>
  </si>
  <si>
    <t>Số lượng server</t>
  </si>
  <si>
    <t>IP</t>
  </si>
  <si>
    <t>Loại OS</t>
  </si>
  <si>
    <t>Account</t>
  </si>
  <si>
    <t>Phân vùng cài đặt</t>
  </si>
  <si>
    <t>Thư viện, Môi trường yêu cầu đặc biệt</t>
  </si>
  <si>
    <t>Phần mềm cài thêm</t>
  </si>
  <si>
    <t>Nhu cầu kết nối internet (Mục đích: Quy hoạch zone mạng)</t>
  </si>
  <si>
    <t>Các nền tảng sử dụng (Mục đích: quy hoạch tài nguyên RAM, Disk)</t>
  </si>
  <si>
    <t>Ghi chú</t>
  </si>
  <si>
    <t>DCN</t>
  </si>
  <si>
    <t>MPBN</t>
  </si>
  <si>
    <t>Public</t>
  </si>
  <si>
    <t>Zone (Pri/Pub)</t>
  </si>
  <si>
    <t>LB (yes/no)</t>
  </si>
  <si>
    <t>Nền tảng sử dụng trên server</t>
  </si>
  <si>
    <t xml:space="preserve">minimum IOPS </t>
  </si>
  <si>
    <t>maximum Disk latency</t>
  </si>
  <si>
    <t>CentOS 7.6</t>
  </si>
  <si>
    <t xml:space="preserve">Thay đổi maxopen file (300000) và max process (100000)
Thay đổi cấu hình /etc/host liệt kê danh sách theo dạng ip host_name của tất cả các server trong hệ thống
</t>
  </si>
  <si>
    <t>yes</t>
  </si>
  <si>
    <t>NA</t>
  </si>
  <si>
    <t>default</t>
  </si>
  <si>
    <t>Pri</t>
  </si>
  <si>
    <t>Số lượng</t>
  </si>
  <si>
    <t>3. Chi tiết cài đặt máy chủ (*)</t>
  </si>
  <si>
    <t>Campaign</t>
  </si>
  <si>
    <t>Module ETL Master, ETL Slaves, ETL monitor,  Apache Storm, Cụm Kafka, Zookeeper</t>
  </si>
  <si>
    <t>CPU=2xXeon gold 5220  RAM =64GBx4 HDD= 600GB X 2 SAS 10Krpm</t>
  </si>
  <si>
    <t>vbn-lta-01
vbn-lta-02</t>
  </si>
  <si>
    <t>app_vbn</t>
  </si>
  <si>
    <t xml:space="preserve">/ 100G
/home  191G
/(root) 50G
/boot 1G
/run 4G
/dev/shm 4G </t>
  </si>
  <si>
    <t>- JDK 1.8
- Nhóm package để phát triển "Development tools"
yum groupinstall "Development tools"
- Python 3</t>
  </si>
  <si>
    <r>
      <rPr>
        <sz val="14"/>
        <color rgb="FF000000"/>
        <rFont val="Times New Roman"/>
        <family val="1"/>
      </rPr>
      <t xml:space="preserve">Phụ lục 01
</t>
    </r>
    <r>
      <rPr>
        <sz val="13"/>
        <color rgb="FF000000"/>
        <rFont val="Times New Roman"/>
        <family val="1"/>
      </rPr>
      <t>HỒ SƠ THIẾT KẾ TRIỂN KHAI HỆ THỐNG CHATBOT</t>
    </r>
  </si>
  <si>
    <t>A.</t>
  </si>
  <si>
    <t>Quy hoạch cấp phát tài nguyên</t>
  </si>
  <si>
    <t>Phân hệ</t>
  </si>
  <si>
    <t>Triển khai LB cứng</t>
  </si>
  <si>
    <t>Bot Gateway</t>
  </si>
  <si>
    <t>CPU=320 Cint/48 GB RAM/1032 GB dung lượng</t>
  </si>
  <si>
    <t>LB cứng</t>
  </si>
  <si>
    <t>LB kết nối cả Public và nội bộ</t>
  </si>
  <si>
    <t>Redis BotGateway &amp; shared file</t>
  </si>
  <si>
    <t>CPU=320 Cint/64 GB RAM/1084 GB dung lượng + 1,6 TB shared HDD /3 server</t>
  </si>
  <si>
    <t>Bot Core</t>
  </si>
  <si>
    <t xml:space="preserve">CPU=320 Cint/48 GB RAM/1031 GB dung lượng + 502 GB shared  HDD /4 server
</t>
  </si>
  <si>
    <t>LB nội bộ</t>
  </si>
  <si>
    <t>Business Adapter</t>
  </si>
  <si>
    <t>CPU=320 Cint/48 GB RAM/1547 GB dung lượng</t>
  </si>
  <si>
    <t>ELK Stack &amp; Redis botcore</t>
  </si>
  <si>
    <t>CPU=596 Cint/48 GB RAM/1203 GB dung lượng</t>
  </si>
  <si>
    <t>Database MariaDB</t>
  </si>
  <si>
    <t>CPU=440 Cint/64 GB RAM/1029 TB dung lượng</t>
  </si>
  <si>
    <t>B.</t>
  </si>
  <si>
    <t>Hồ sơ thiết kế chi tiết</t>
  </si>
  <si>
    <t>Dự án</t>
  </si>
  <si>
    <t>LB</t>
  </si>
  <si>
    <t>Chatbot MyVT</t>
  </si>
  <si>
    <t>chatbot_gateway1
chatbot_gateway2
chatbot_gateway3</t>
  </si>
  <si>
    <t>chatbot</t>
  </si>
  <si>
    <t>CentOS 7.2.1511</t>
  </si>
  <si>
    <t>/ 50G
/boot 512M
/var 20G
swap 128GB
/u01 500GB
/u02 500GB</t>
  </si>
  <si>
    <t>- JDK 1.8
- Nhóm package để phát triển "Development tools"
yum groupinstall "Development tools"
- nagios client, nrpe plugin
- telnet,traceroute,tracetcp,wget
- fpt client, fpt server
- gcc</t>
  </si>
  <si>
    <t>Redis BotGateway, shared file</t>
  </si>
  <si>
    <t>chatbot_file1
chatbot_file2
chatbot_file3</t>
  </si>
  <si>
    <t>/ 50G
/boot 512M
/var 20G
swap 128GB
/u01  500GB
/u02 500GB
/u03 1600 GB shared HDD</t>
  </si>
  <si>
    <t>Thay đổi maxopen file (300000) và max process (100000)
Thay đổi cấu hình /etc/host liệt kê danh sách theo dạng ip host_name của tất cả các server trong hệ thống
/u03 là shared HDD cho 3 server</t>
  </si>
  <si>
    <t>chatbot_core1
chatbot_core2
chatbot_core3
chatbot_core4</t>
  </si>
  <si>
    <t>/ 50G
/boot 512M
/var 20G
swap 128GB
/u01  500GB
/u02 500GB
/u03 500 GB shared HDD</t>
  </si>
  <si>
    <t>Thay đổi maxopen file (300000) và max process (100000)
Thay đổi cấu hình /etc/host liệt kê danh sách theo dạng ip host_name của tất cả các server trong hệ thống
/u03 là shared HDD cho 4 server</t>
  </si>
  <si>
    <t>business_adapter1
business_adapter2
business_adapter3</t>
  </si>
  <si>
    <t>/ 50G
/boot 512M
/var 20G
swap 128GB
/u01  650GB
/u02 650GB</t>
  </si>
  <si>
    <t>Elasticsearch/ELK/Redis</t>
  </si>
  <si>
    <t>chatbot_elastic1
chatbot_elastic2
chatbot_elastic3</t>
  </si>
  <si>
    <t>/ 50G
/boot 512M
/var 20G
swap 128GB
/u01  500GB
/u02 500GB
/u03 500GB</t>
  </si>
  <si>
    <t>1. Thay đổi maxopen file (300000) và max process (100000)
Set nofile là 300000 cho user
[user] soft  Set nofile là 300000 cho user
[user] nofile   300000
[user] hard  nofile   200000
Set nproc là 100000
[user] soft    nproc   200000
[user] hard    nproc   200000
2. Tạo các phân vùng ổ cứng khác nhau để cài riêng biệt ứng dụng Elastisearch/ELK, Redis
3. Thay đổi cấu hình /etc/host liệt kê danh sách theo dạng ip host_name của tất cả các server trong hệ thống</t>
  </si>
  <si>
    <t>chatbot_db1
chatbot_db2
chatbot_db3</t>
  </si>
  <si>
    <t>/ 50G
/boot 512M
/var 20G
swap 128GB
/u01  1000GB</t>
  </si>
  <si>
    <t>Thay đổi maxopen file (300000) và max process (100000)
Thay đổi cấu hình /etc/host liệt kê danh sách theo dạng ip host_name của tất cả các server trong hệ thống
Cài MariaDB 10.3.10</t>
  </si>
  <si>
    <t>FW</t>
  </si>
  <si>
    <t>4. Chi tiết cài đặt máy chủ vật lý (*)</t>
  </si>
  <si>
    <t>N/A</t>
  </si>
  <si>
    <t>- Thay đổi maxopen file (3000000) và max process (100000)
- Thay đổi cấu hình /etc/host liệt kê danh sách theo dạng ip host_name của tất cả các server trong hệ thống
- Trong /etc/sysctl.conf thêm cấu hình
net.core.somaxconn = 16384</t>
  </si>
  <si>
    <t xml:space="preserve">- JDK 1.8
- Nhóm package để phát triển "Development tools"
yum groupinstall 
Python 3
yum
tmux
htop
vim
nano
zip
unzip
gcc
libsndfile
sox
ffmpeg
Nginx
docker
Các lệnh telnet, traceroute, tracetcp, wget, tcpdump,
fpt client, fpt server
Quyền user
quyền cài đặt, chạy docker, các thư viện cần thiết
sudo make
sudo make install
</t>
  </si>
  <si>
    <t>ELK Stack</t>
  </si>
  <si>
    <t>/100G
/boot 512M
/var 50G
swap 100GB
/u01 500G
/u02 3500G</t>
  </si>
  <si>
    <t>Thông lượng &gt;= 6 Gbps</t>
  </si>
  <si>
    <t>ghi chú</t>
  </si>
  <si>
    <t>os_call_monitor</t>
  </si>
  <si>
    <t>Giám sát cuộc gọi CSKH</t>
  </si>
  <si>
    <t>call_monitor_app5
call_monitor_app6</t>
  </si>
  <si>
    <t>GPU
Speech processing</t>
  </si>
  <si>
    <t>App
Data process + web</t>
  </si>
  <si>
    <t>SSD/HDD bổ sung: 1,7 TB</t>
  </si>
  <si>
    <t>call_monitor_elk1
call_monitor_elk2
call_monitor_elk3</t>
  </si>
  <si>
    <t>/u02</t>
  </si>
  <si>
    <t>SSD bổ sung: 1,9 TB</t>
  </si>
  <si>
    <t>call_monitor_db1
call_monitor_db2
call_monitor_db3</t>
  </si>
  <si>
    <t>Hệ thống hỗ trợ:
+ Giám sát 300000 cuộc gọi/ngày để hỗ trợ đánh giá nhân viên chăm sóc khách hàng (NVCSKH); phát hiện nhanh các cuộc gọi KH không hài lòng về chất lượng dịch vụ/chất lượng phục vụ, nắm bắt nhu cầu của khách hàng từ đó có hành động ứng xử chăm sóc kịp thời, tăng mức độ hài lòng khách hàng (KH).
+ Chủ động nhận biết các cuộc gọi vi phạm thái độ của NVCSKH qua tính năng cảnh báo Online, offline theo các ngưỡng chất lượng đã được cấu hình sẵn. Từ đó nâng cao ý thức tiếp nhận, giải đáp cuộc gọi của NVCSKH.</t>
  </si>
  <si>
    <t>- Data Process: 
o Thu thập dữ liệu ghi âm cuộc gọi từ tổng đài chăm sóc khách hàng IPCC
o Xử lý các nghiệp vụ tiến trình ngầm, tiền xử lý trước khi chuyển sang module xử lý audio
o Thực hiện xử lý các nghiệm vụ không cần chạy trên GPU
o Thực hiện nghiệp vụ cảnh báo, hỗ trợ đánh giá, chấm điểm cuộc gọi…..
- Speech processing: Xử lý các nghiệp vụ cần chạy trên GPU
o Nhận diện cảm xúc sử dụng deep learning từ dữ liệu voice
o Chuyển voice thành text
o Xử lý nhận diện cảm xúc trên text 
- Web nghiệp vụ: Xử lý nghiệp vụ web của hệ thống
o Cấu hình 
o Web đánh giá chất lượng giải đáp nghiệp vụ của NVCSKH
o Web tra cứu chất lượng cuộc gọi, báo cáo tổng hợp, báo cáo chi tiết, dashboard
- Redis: Lưu cache của hệ thống
- Kafka: Hàng đợi trong quá trình xử lý của hệ thống
- ELK Stack: 
o Elasticsearch: lưu trữ dữ liệu text của cuộc gọi, search engine cho hệ thống
o Lưu trữ, giám sát log tập trung toàn bộ hệ thống
- Database: Cơ sở dữ liệu của hệ thống</t>
  </si>
  <si>
    <t>- Sử dụng deeplearning, sử dụng GPU để nhận diện cảm xúc, chủ đề, tóm tắt văn bản,...
- ElasticSearch: Dùng để hỗ trợ chức năng lưu trữ và tìm kiếm văn bản
- Kafka: hàng đợi của hệ thống</t>
  </si>
  <si>
    <t>/u01</t>
  </si>
  <si>
    <t>call_monitor_a30_gpu01
call_monitor_a30_gpu02
call_monitor_a30_gpu03</t>
  </si>
  <si>
    <t>/100G
/boot 512M
/var 50G
swap 100GB
/u01 2000G</t>
  </si>
  <si>
    <t>1. Tổng quan hệ thống Giám sát cuộc gọi Chăm sóc khách hàng</t>
  </si>
  <si>
    <t>Centos Stream 9
hoặc Ubuntu 22.04</t>
  </si>
  <si>
    <r>
      <rPr>
        <sz val="10"/>
        <color rgb="FFFF0000"/>
        <rFont val="Times New Roman"/>
        <family val="1"/>
      </rPr>
      <t>CPU  &gt;= 96 Cint 2017
RAM &gt;= 64 GB</t>
    </r>
    <r>
      <rPr>
        <sz val="10"/>
        <rFont val="Times New Roman"/>
        <family val="1"/>
      </rPr>
      <t xml:space="preserve">
SSD &gt;= 1900 GB
Có card HBA
</t>
    </r>
  </si>
  <si>
    <r>
      <t xml:space="preserve">Bổ sung ổ cứng SSD vào phân vùng /u02
</t>
    </r>
    <r>
      <rPr>
        <sz val="10"/>
        <color rgb="FFFF0000"/>
        <rFont val="Times New Roman"/>
        <family val="1"/>
      </rPr>
      <t>IP các server bổ sung ổ cứng:
10.207.188.20
10.207.188.21
10.207.188.22</t>
    </r>
  </si>
  <si>
    <r>
      <t xml:space="preserve">Bổ sung ổ cứng SSD vào phân vùng /u01
</t>
    </r>
    <r>
      <rPr>
        <sz val="10"/>
        <color rgb="FFFF0000"/>
        <rFont val="Times New Roman"/>
        <family val="1"/>
      </rPr>
      <t>IP các server bổ sung ổ cứng:
10.207.191.5
10.207.191.6
10.207.191.7</t>
    </r>
  </si>
  <si>
    <r>
      <t xml:space="preserve">Phụ lục 02
</t>
    </r>
    <r>
      <rPr>
        <sz val="13"/>
        <color rgb="FF000000"/>
        <rFont val="Times New Roman"/>
        <family val="1"/>
      </rPr>
      <t>HỒ SƠ THIẾT KẾ BỔ SUNG SIZING HỆ THỐNG GIÁM SÁT CUỘC GỌI CHĂM SÓC KHÁCH HÀNG (bổ sung theo sizing năm 2022)</t>
    </r>
  </si>
  <si>
    <t>Thông lượng &gt;= 10 Gbps</t>
  </si>
  <si>
    <t>Thông lượng vào ra các server App (Data process + Web)</t>
  </si>
  <si>
    <t>Thông lượng vào ra các server GPU Speech processing</t>
  </si>
  <si>
    <r>
      <t xml:space="preserve">server 3 card A30
</t>
    </r>
    <r>
      <rPr>
        <sz val="11"/>
        <color rgb="FFFF0000"/>
        <rFont val="Calibri"/>
        <family val="2"/>
      </rPr>
      <t>Bổ sung 12 TB SSD/HDD share giữa 3 server GPU bổ sung thêm với 3 GPU cũ (10.207.188.5-7)</t>
    </r>
  </si>
  <si>
    <r>
      <t xml:space="preserve">CPU  &gt;= 280 Cint 2017
RAM &gt;= 256 GB
GPU: 3x A30 &gt;= 24GB
SSD &gt;= 2000 GB
Có card HBA
</t>
    </r>
    <r>
      <rPr>
        <sz val="10"/>
        <color rgb="FFFF0000"/>
        <rFont val="Times New Roman"/>
        <family val="1"/>
      </rPr>
      <t xml:space="preserve">Bổ sung 12 TB SSD/HDD share giữa 3 server GPU bổ sung thêm với 3 GPU cũ (10.207.188.5-7)
</t>
    </r>
    <r>
      <rPr>
        <sz val="10"/>
        <rFont val="Times New Roman"/>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</si>
</sst>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font>
      <sz val="11"/>
      <color rgb="FF000000"/>
      <name val="Calibri"/>
      <charset val="134"/>
    </font>
    <font>
      <sz val="11"/>
      <color theme="1"/>
      <name val="Calibri"/>
      <family val="2"/>
      <scheme val="minor"/>
    </font>
    <font>
      <sz val="14"/>
      <color rgb="FF000000"/>
      <name val="Times New Roman"/>
      <family val="1"/>
    </font>
    <font>
      <b/>
      <sz val="10"/>
      <color rgb="FF000000"/>
      <name val="Times New Roman"/>
      <family val="1"/>
    </font>
    <font>
      <sz val="10"/>
      <color rgb="FF000000"/>
      <name val="Times New Roman"/>
      <family val="1"/>
    </font>
    <font>
      <sz val="10"/>
      <color rgb="FFFF0000"/>
      <name val="Times New Roman"/>
      <family val="1"/>
    </font>
    <font>
      <sz val="11"/>
      <name val="Calibri"/>
      <family val="2"/>
    </font>
    <font>
      <sz val="12"/>
      <color rgb="FF000000"/>
      <name val="Times New Roman"/>
      <family val="1"/>
    </font>
    <font>
      <sz val="10"/>
      <name val="Times New Roman"/>
      <family val="1"/>
    </font>
    <font>
      <b/>
      <sz val="10"/>
      <name val="Times New Roman"/>
      <family val="1"/>
    </font>
    <font>
      <sz val="11"/>
      <color rgb="FF000000"/>
      <name val="Times New Roman"/>
      <family val="1"/>
    </font>
    <font>
      <sz val="13"/>
      <color rgb="FF000000"/>
      <name val="Times New Roman"/>
      <family val="1"/>
    </font>
    <font>
      <b/>
      <sz val="13"/>
      <color rgb="FF000000"/>
      <name val="Times New Roman"/>
      <family val="1"/>
    </font>
    <font>
      <b/>
      <sz val="11"/>
      <color rgb="FF000000"/>
      <name val="Times New Roman"/>
      <family val="1"/>
    </font>
    <font>
      <b/>
      <sz val="14"/>
      <color rgb="FF000000"/>
      <name val="Times New Roman"/>
      <family val="1"/>
    </font>
    <font>
      <b/>
      <sz val="12"/>
      <color rgb="FF000000"/>
      <name val="Times New Roman"/>
      <family val="1"/>
    </font>
    <font>
      <b/>
      <sz val="11"/>
      <color rgb="FFFF0000"/>
      <name val="Times New Roman"/>
      <family val="1"/>
    </font>
    <font>
      <sz val="11"/>
      <color theme="1"/>
      <name val="Calibri"/>
      <family val="2"/>
      <scheme val="minor"/>
    </font>
    <font>
      <sz val="11"/>
      <color rgb="FF000000"/>
      <name val="Calibri"/>
      <family val="2"/>
    </font>
    <font>
      <sz val="11"/>
      <color rgb="FF000000"/>
      <name val="Calibri"/>
      <family val="2"/>
    </font>
    <font>
      <sz val="14"/>
      <color rgb="FF000000"/>
      <name val="Times New Roman"/>
      <family val="1"/>
    </font>
    <font>
      <sz val="13"/>
      <color rgb="FF000000"/>
      <name val="Times New Roman"/>
      <family val="1"/>
    </font>
    <font>
      <b/>
      <sz val="10"/>
      <color rgb="FF000000"/>
      <name val="Times New Roman"/>
      <family val="1"/>
    </font>
    <font>
      <b/>
      <sz val="10"/>
      <name val="Times New Roman"/>
      <family val="1"/>
    </font>
    <font>
      <sz val="8"/>
      <name val="Calibri"/>
      <family val="2"/>
    </font>
    <font>
      <sz val="10"/>
      <color theme="1"/>
      <name val="Times New Roman"/>
      <family val="1"/>
    </font>
    <font>
      <sz val="11"/>
      <color rgb="FFFF0000"/>
      <name val="Calibri"/>
      <family val="2"/>
    </font>
  </fonts>
  <fills count="5">
    <fill>
      <patternFill patternType="none"/>
    </fill>
    <fill>
      <patternFill patternType="gray125"/>
    </fill>
    <fill>
      <patternFill patternType="solid">
        <fgColor rgb="FFFFFF00"/>
        <bgColor rgb="FFFFFF00"/>
      </patternFill>
    </fill>
    <fill>
      <patternFill patternType="solid">
        <fgColor rgb="FFFFFFFF"/>
        <bgColor rgb="FFFFFFCC"/>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s>
  <cellStyleXfs count="4">
    <xf numFmtId="0" fontId="0" fillId="0" borderId="0"/>
    <xf numFmtId="0" fontId="17" fillId="0" borderId="0"/>
    <xf numFmtId="0" fontId="18" fillId="0" borderId="0"/>
    <xf numFmtId="0" fontId="1" fillId="0" borderId="0"/>
  </cellStyleXfs>
  <cellXfs count="110">
    <xf numFmtId="0" fontId="0" fillId="0" borderId="0" xfId="0"/>
    <xf numFmtId="0" fontId="0" fillId="0" borderId="1" xfId="0" applyBorder="1"/>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3" fillId="2" borderId="0" xfId="2" applyFont="1" applyFill="1" applyAlignment="1">
      <alignment horizontal="center" vertical="top" wrapText="1"/>
    </xf>
    <xf numFmtId="0" fontId="3" fillId="0" borderId="1" xfId="2" applyFont="1" applyBorder="1" applyAlignment="1">
      <alignment horizontal="center" vertical="top" wrapText="1"/>
    </xf>
    <xf numFmtId="0" fontId="4" fillId="0" borderId="1" xfId="2" applyFont="1" applyBorder="1" applyAlignment="1">
      <alignment horizontal="center" vertical="top" wrapText="1"/>
    </xf>
    <xf numFmtId="0" fontId="4" fillId="0" borderId="2" xfId="0" applyFont="1" applyBorder="1" applyAlignment="1">
      <alignment horizontal="justify" vertical="top"/>
    </xf>
    <xf numFmtId="0" fontId="4" fillId="0" borderId="1" xfId="0" applyFont="1" applyBorder="1" applyAlignment="1">
      <alignment horizontal="left" vertical="top" wrapText="1"/>
    </xf>
    <xf numFmtId="0" fontId="4" fillId="0" borderId="1" xfId="0" applyFont="1" applyBorder="1" applyAlignment="1">
      <alignment horizontal="justify" vertical="top" wrapText="1"/>
    </xf>
    <xf numFmtId="0" fontId="4" fillId="0" borderId="1" xfId="0" applyFont="1" applyBorder="1" applyAlignment="1">
      <alignment horizontal="justify" vertical="top"/>
    </xf>
    <xf numFmtId="0" fontId="3" fillId="0" borderId="1" xfId="2" applyFont="1" applyBorder="1" applyAlignment="1">
      <alignment horizontal="left" vertical="top" wrapText="1"/>
    </xf>
    <xf numFmtId="0" fontId="3" fillId="0" borderId="1" xfId="0" applyFont="1" applyBorder="1" applyAlignment="1">
      <alignment horizontal="center" vertical="top"/>
    </xf>
    <xf numFmtId="0" fontId="3" fillId="0" borderId="2" xfId="0" applyFont="1" applyBorder="1" applyAlignment="1">
      <alignment horizontal="center" vertical="top" wrapText="1"/>
    </xf>
    <xf numFmtId="0" fontId="4" fillId="0" borderId="2" xfId="0" applyFont="1" applyBorder="1" applyAlignment="1">
      <alignment horizontal="justify" vertical="top" wrapText="1"/>
    </xf>
    <xf numFmtId="0" fontId="3" fillId="2" borderId="0" xfId="2" applyFont="1" applyFill="1" applyAlignment="1">
      <alignment vertical="top" wrapText="1"/>
    </xf>
    <xf numFmtId="0" fontId="3" fillId="0" borderId="3" xfId="2" applyFont="1" applyBorder="1" applyAlignment="1">
      <alignment horizontal="center" vertical="top" wrapText="1"/>
    </xf>
    <xf numFmtId="0" fontId="3" fillId="0" borderId="0" xfId="2" applyFont="1" applyAlignment="1">
      <alignment horizontal="center" vertical="top" wrapText="1"/>
    </xf>
    <xf numFmtId="0" fontId="3" fillId="0" borderId="0" xfId="2" applyFont="1" applyAlignment="1">
      <alignment horizontal="left" vertical="top" wrapText="1"/>
    </xf>
    <xf numFmtId="0" fontId="5" fillId="0" borderId="3" xfId="0" applyFont="1" applyBorder="1" applyAlignment="1">
      <alignment horizontal="center" vertical="top" wrapText="1"/>
    </xf>
    <xf numFmtId="0" fontId="5" fillId="0" borderId="1" xfId="2" applyFont="1" applyBorder="1" applyAlignment="1">
      <alignment horizontal="left" vertical="top" wrapText="1"/>
    </xf>
    <xf numFmtId="0" fontId="5" fillId="0" borderId="0" xfId="2" applyFont="1" applyAlignment="1">
      <alignment horizontal="left" vertical="top" wrapText="1"/>
    </xf>
    <xf numFmtId="0" fontId="3" fillId="0" borderId="3" xfId="2" applyFont="1" applyBorder="1" applyAlignment="1">
      <alignment horizontal="left" vertical="top" wrapText="1"/>
    </xf>
    <xf numFmtId="0" fontId="3" fillId="0" borderId="2" xfId="0" applyFont="1" applyBorder="1" applyAlignment="1">
      <alignment horizontal="center" vertical="top"/>
    </xf>
    <xf numFmtId="0" fontId="4" fillId="0" borderId="2" xfId="0" applyFont="1" applyBorder="1" applyAlignment="1">
      <alignment horizontal="left" vertical="top" wrapText="1"/>
    </xf>
    <xf numFmtId="0" fontId="0" fillId="0" borderId="4" xfId="0" applyBorder="1"/>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6" fillId="0" borderId="0" xfId="0" applyFont="1" applyAlignment="1">
      <alignmen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0" xfId="0" applyFont="1" applyAlignment="1">
      <alignment vertical="center" wrapText="1"/>
    </xf>
    <xf numFmtId="0" fontId="4" fillId="0" borderId="0" xfId="0" applyFont="1" applyAlignment="1">
      <alignment vertical="center"/>
    </xf>
    <xf numFmtId="0" fontId="4" fillId="0" borderId="1" xfId="0" applyFont="1" applyBorder="1" applyAlignment="1">
      <alignment horizontal="right" vertical="center"/>
    </xf>
    <xf numFmtId="0" fontId="8" fillId="0" borderId="0" xfId="0" applyFont="1" applyAlignment="1">
      <alignment vertical="center"/>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3" fillId="0" borderId="1" xfId="2" applyFont="1" applyBorder="1" applyAlignment="1">
      <alignment horizontal="center" vertical="center" wrapText="1"/>
    </xf>
    <xf numFmtId="0" fontId="4" fillId="0" borderId="1" xfId="2" applyFont="1" applyBorder="1" applyAlignment="1">
      <alignment horizontal="center" vertical="center"/>
    </xf>
    <xf numFmtId="0" fontId="8" fillId="0" borderId="1" xfId="2" applyFont="1" applyBorder="1" applyAlignment="1">
      <alignment horizontal="center" vertical="center" wrapText="1"/>
    </xf>
    <xf numFmtId="0" fontId="4" fillId="0" borderId="1" xfId="2" applyFont="1" applyBorder="1" applyAlignment="1">
      <alignment horizontal="center" vertical="center" wrapText="1"/>
    </xf>
    <xf numFmtId="0" fontId="6" fillId="0" borderId="0" xfId="0" applyFont="1"/>
    <xf numFmtId="0" fontId="8" fillId="0" borderId="0" xfId="0" applyFont="1" applyAlignment="1">
      <alignment vertical="top"/>
    </xf>
    <xf numFmtId="0" fontId="4" fillId="0" borderId="0" xfId="0" applyFont="1"/>
    <xf numFmtId="0" fontId="10" fillId="0" borderId="0" xfId="0" applyFont="1" applyAlignment="1">
      <alignment vertical="top"/>
    </xf>
    <xf numFmtId="0" fontId="4" fillId="0" borderId="1" xfId="0" applyFont="1" applyBorder="1" applyAlignment="1">
      <alignment horizontal="left" vertical="center"/>
    </xf>
    <xf numFmtId="0" fontId="22" fillId="3" borderId="6" xfId="0" applyFont="1" applyFill="1" applyBorder="1" applyAlignment="1">
      <alignment horizontal="center" vertical="top" wrapText="1"/>
    </xf>
    <xf numFmtId="0" fontId="22" fillId="3" borderId="1" xfId="2" applyFont="1" applyFill="1" applyBorder="1" applyAlignment="1">
      <alignment horizontal="center" vertical="top" wrapText="1"/>
    </xf>
    <xf numFmtId="0" fontId="8" fillId="0" borderId="0" xfId="0" applyFont="1" applyAlignment="1">
      <alignment vertical="top" wrapText="1"/>
    </xf>
    <xf numFmtId="0" fontId="6" fillId="0" borderId="0" xfId="0" applyFont="1" applyAlignment="1">
      <alignment wrapText="1"/>
    </xf>
    <xf numFmtId="0" fontId="9" fillId="0" borderId="6" xfId="0" applyFont="1" applyBorder="1" applyAlignment="1">
      <alignment horizontal="center" vertical="top"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9" fillId="0" borderId="1" xfId="0" applyFont="1" applyBorder="1" applyAlignment="1">
      <alignment horizontal="center" vertical="top" wrapText="1"/>
    </xf>
    <xf numFmtId="0" fontId="7" fillId="0" borderId="1" xfId="0" quotePrefix="1" applyFont="1" applyBorder="1" applyAlignment="1">
      <alignment horizontal="left" vertical="center" wrapText="1"/>
    </xf>
    <xf numFmtId="0" fontId="8" fillId="4" borderId="1" xfId="0" applyFont="1" applyFill="1" applyBorder="1" applyAlignment="1">
      <alignment horizontal="left" vertical="top" wrapText="1"/>
    </xf>
    <xf numFmtId="0" fontId="8" fillId="4" borderId="1" xfId="0" quotePrefix="1" applyFont="1" applyFill="1" applyBorder="1" applyAlignment="1">
      <alignment horizontal="left" vertical="top" wrapText="1"/>
    </xf>
    <xf numFmtId="0" fontId="25" fillId="4" borderId="1" xfId="3" applyFont="1" applyFill="1" applyBorder="1" applyAlignment="1">
      <alignment horizontal="center" vertical="top"/>
    </xf>
    <xf numFmtId="0" fontId="8" fillId="4" borderId="1" xfId="3" applyFont="1" applyFill="1" applyBorder="1" applyAlignment="1">
      <alignment horizontal="center" vertical="top" wrapText="1"/>
    </xf>
    <xf numFmtId="0" fontId="25" fillId="4" borderId="1" xfId="3" applyFont="1" applyFill="1" applyBorder="1" applyAlignment="1">
      <alignment horizontal="center" vertical="top" wrapText="1"/>
    </xf>
    <xf numFmtId="0" fontId="8" fillId="0" borderId="1" xfId="0" applyFont="1" applyBorder="1" applyAlignment="1">
      <alignment horizontal="center" vertical="top" wrapText="1"/>
    </xf>
    <xf numFmtId="0" fontId="20" fillId="0" borderId="1" xfId="0" applyFont="1" applyBorder="1" applyAlignment="1">
      <alignment horizontal="center" vertical="center"/>
    </xf>
    <xf numFmtId="0" fontId="20" fillId="0" borderId="1" xfId="0" applyFont="1" applyBorder="1" applyAlignment="1">
      <alignment vertical="center"/>
    </xf>
    <xf numFmtId="0" fontId="2" fillId="0" borderId="1" xfId="0" applyFont="1" applyBorder="1" applyAlignment="1">
      <alignment vertical="center"/>
    </xf>
    <xf numFmtId="0" fontId="9" fillId="0" borderId="1" xfId="0" applyFont="1" applyBorder="1" applyAlignment="1">
      <alignment horizontal="center" vertical="top" wrapText="1"/>
    </xf>
    <xf numFmtId="0" fontId="9" fillId="0" borderId="1" xfId="2" applyFont="1" applyBorder="1" applyAlignment="1">
      <alignment horizontal="center" vertical="top" wrapText="1"/>
    </xf>
    <xf numFmtId="0" fontId="8" fillId="0" borderId="0" xfId="0" applyFont="1"/>
    <xf numFmtId="0" fontId="15" fillId="0" borderId="1"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vertical="center" wrapText="1"/>
    </xf>
    <xf numFmtId="0" fontId="7" fillId="0" borderId="1" xfId="0" applyFont="1" applyBorder="1" applyAlignment="1">
      <alignment horizontal="left" vertical="center" wrapText="1"/>
    </xf>
    <xf numFmtId="0" fontId="11" fillId="4" borderId="0" xfId="0" applyFont="1" applyFill="1"/>
    <xf numFmtId="0" fontId="13" fillId="4" borderId="0" xfId="2" applyFont="1" applyFill="1" applyAlignment="1">
      <alignment horizontal="left" vertical="top" wrapText="1"/>
    </xf>
    <xf numFmtId="0" fontId="0" fillId="4" borderId="0" xfId="0" applyFill="1"/>
    <xf numFmtId="0" fontId="10" fillId="4" borderId="0" xfId="0" applyFont="1" applyFill="1"/>
    <xf numFmtId="0" fontId="12" fillId="4" borderId="0" xfId="2" applyFont="1" applyFill="1" applyAlignment="1">
      <alignment horizontal="left" vertical="top" wrapText="1"/>
    </xf>
    <xf numFmtId="0" fontId="14" fillId="4" borderId="0" xfId="0" applyFont="1" applyFill="1"/>
    <xf numFmtId="0" fontId="20" fillId="4" borderId="0" xfId="0" applyFont="1" applyFill="1" applyAlignment="1">
      <alignment horizontal="left" vertical="center" indent="8"/>
    </xf>
    <xf numFmtId="0" fontId="21" fillId="4" borderId="0" xfId="0" applyFont="1" applyFill="1" applyAlignment="1">
      <alignment horizontal="left" vertical="center" indent="8"/>
    </xf>
    <xf numFmtId="0" fontId="12" fillId="4" borderId="0" xfId="2" applyFont="1" applyFill="1" applyAlignment="1">
      <alignment horizontal="left" vertical="top" wrapText="1"/>
    </xf>
    <xf numFmtId="0" fontId="8" fillId="0" borderId="1" xfId="0" applyFont="1" applyBorder="1" applyAlignment="1">
      <alignment horizontal="center" vertical="center" wrapText="1"/>
    </xf>
    <xf numFmtId="0" fontId="12" fillId="4" borderId="0" xfId="2" applyFont="1" applyFill="1" applyAlignment="1">
      <alignment horizontal="left" vertical="top" wrapText="1"/>
    </xf>
    <xf numFmtId="0" fontId="2" fillId="0" borderId="1" xfId="0" applyFont="1" applyBorder="1" applyAlignment="1">
      <alignment vertical="center" wrapText="1"/>
    </xf>
    <xf numFmtId="0" fontId="12" fillId="4" borderId="0" xfId="2" applyFont="1" applyFill="1" applyAlignment="1">
      <alignment horizontal="left" vertical="top" wrapText="1"/>
    </xf>
    <xf numFmtId="0" fontId="18" fillId="0" borderId="0" xfId="0" applyFont="1" applyAlignment="1">
      <alignment wrapText="1"/>
    </xf>
    <xf numFmtId="0" fontId="13" fillId="0" borderId="0" xfId="2" applyFont="1" applyAlignment="1">
      <alignment horizontal="left" vertical="top" wrapText="1"/>
    </xf>
    <xf numFmtId="0" fontId="16" fillId="0" borderId="0" xfId="0" applyFont="1" applyAlignment="1">
      <alignment horizontal="left" vertical="top" wrapText="1"/>
    </xf>
    <xf numFmtId="0" fontId="2" fillId="0" borderId="0" xfId="0" applyFont="1" applyAlignment="1">
      <alignment horizontal="center" vertical="center" wrapText="1"/>
    </xf>
    <xf numFmtId="0" fontId="12" fillId="0" borderId="0" xfId="2" applyFont="1" applyAlignment="1">
      <alignment horizontal="left" vertical="center" wrapText="1"/>
    </xf>
    <xf numFmtId="0" fontId="12" fillId="4" borderId="0" xfId="2" applyFont="1" applyFill="1" applyAlignment="1">
      <alignment horizontal="left" vertical="top" wrapText="1"/>
    </xf>
    <xf numFmtId="0" fontId="8" fillId="0" borderId="1" xfId="0" applyFont="1" applyBorder="1" applyAlignment="1">
      <alignment horizontal="center" vertical="center" wrapText="1"/>
    </xf>
    <xf numFmtId="0" fontId="9" fillId="0" borderId="5" xfId="2" applyFont="1" applyBorder="1" applyAlignment="1">
      <alignment horizontal="left" vertical="top" wrapText="1"/>
    </xf>
    <xf numFmtId="0" fontId="9" fillId="0" borderId="1" xfId="0" applyFont="1" applyBorder="1" applyAlignment="1">
      <alignment horizontal="center" vertical="top" wrapText="1"/>
    </xf>
    <xf numFmtId="0" fontId="9" fillId="0" borderId="1" xfId="2" applyFont="1" applyBorder="1" applyAlignment="1">
      <alignment horizontal="center" vertical="top" wrapText="1"/>
    </xf>
    <xf numFmtId="0" fontId="19" fillId="0" borderId="0" xfId="0" applyFont="1" applyAlignment="1">
      <alignment horizontal="left"/>
    </xf>
    <xf numFmtId="0" fontId="0" fillId="0" borderId="0" xfId="0" applyAlignment="1">
      <alignment horizontal="left"/>
    </xf>
    <xf numFmtId="0" fontId="22" fillId="3" borderId="1" xfId="0" applyFont="1" applyFill="1" applyBorder="1" applyAlignment="1">
      <alignment horizontal="center" vertical="top" wrapText="1"/>
    </xf>
    <xf numFmtId="0" fontId="23" fillId="3" borderId="1" xfId="0" applyFont="1" applyFill="1" applyBorder="1" applyAlignment="1">
      <alignment horizontal="center" vertical="top" wrapText="1"/>
    </xf>
    <xf numFmtId="0" fontId="22" fillId="3" borderId="1" xfId="2" applyFont="1" applyFill="1" applyBorder="1" applyAlignment="1">
      <alignment horizontal="center" vertical="top" wrapText="1"/>
    </xf>
    <xf numFmtId="0" fontId="3" fillId="0" borderId="1" xfId="0" applyFont="1" applyBorder="1" applyAlignment="1">
      <alignment horizontal="center" vertical="center" wrapText="1"/>
    </xf>
    <xf numFmtId="0" fontId="3" fillId="0" borderId="5" xfId="2" applyFont="1" applyBorder="1" applyAlignment="1">
      <alignment horizontal="left" vertical="center" wrapText="1"/>
    </xf>
    <xf numFmtId="0" fontId="3" fillId="0" borderId="1" xfId="2" applyFont="1" applyBorder="1" applyAlignment="1">
      <alignment horizontal="center" vertical="center" wrapText="1"/>
    </xf>
    <xf numFmtId="0" fontId="9" fillId="0" borderId="1" xfId="0" applyFont="1" applyBorder="1" applyAlignment="1">
      <alignment horizontal="center" vertical="center" wrapText="1"/>
    </xf>
    <xf numFmtId="0" fontId="2" fillId="0" borderId="0" xfId="2" applyFont="1" applyAlignment="1">
      <alignment horizontal="center" vertical="top" wrapText="1"/>
    </xf>
    <xf numFmtId="0" fontId="3" fillId="2" borderId="0" xfId="2" applyFont="1" applyFill="1" applyAlignment="1">
      <alignment horizontal="left" vertical="top" wrapText="1"/>
    </xf>
  </cellXfs>
  <cellStyles count="4">
    <cellStyle name="Explanatory Text" xfId="2" builtinId="53"/>
    <cellStyle name="Normal" xfId="0" builtinId="0"/>
    <cellStyle name="Normal 2 34" xfId="1"/>
    <cellStyle name="Normal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330840</xdr:colOff>
      <xdr:row>1</xdr:row>
      <xdr:rowOff>107280</xdr:rowOff>
    </xdr:from>
    <xdr:to>
      <xdr:col>6</xdr:col>
      <xdr:colOff>371160</xdr:colOff>
      <xdr:row>39</xdr:row>
      <xdr:rowOff>141120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1016635" y="392430"/>
          <a:ext cx="3469005" cy="727329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352425</xdr:colOff>
          <xdr:row>67</xdr:row>
          <xdr:rowOff>95250</xdr:rowOff>
        </xdr:from>
        <xdr:to>
          <xdr:col>16</xdr:col>
          <xdr:colOff>381000</xdr:colOff>
          <xdr:row>102</xdr:row>
          <xdr:rowOff>180975</xdr:rowOff>
        </xdr:to>
        <xdr:sp macro="" textlink="">
          <xdr:nvSpPr>
            <xdr:cNvPr id="2058" name="Object 10" hidden="1">
              <a:extLst>
                <a:ext uri="{63B3BB69-23CF-44E3-9099-C40C66FF867C}">
                  <a14:compatExt spid="_x0000_s2058"/>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138547</xdr:colOff>
          <xdr:row>6</xdr:row>
          <xdr:rowOff>0</xdr:rowOff>
        </xdr:from>
        <xdr:to>
          <xdr:col>25</xdr:col>
          <xdr:colOff>269298</xdr:colOff>
          <xdr:row>63</xdr:row>
          <xdr:rowOff>166255</xdr:rowOff>
        </xdr:to>
        <xdr:sp macro="" textlink="">
          <xdr:nvSpPr>
            <xdr:cNvPr id="2062" name="Object 14" hidden="1">
              <a:extLst>
                <a:ext uri="{63B3BB69-23CF-44E3-9099-C40C66FF867C}">
                  <a14:compatExt spid="_x0000_s206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3.e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package" Target="../embeddings/Microsoft_Visio_Drawing1.vsdx"/><Relationship Id="rId5" Type="http://schemas.openxmlformats.org/officeDocument/2006/relationships/image" Target="../media/image2.emf"/><Relationship Id="rId4" Type="http://schemas.openxmlformats.org/officeDocument/2006/relationships/package" Target="../embeddings/Microsoft_Visio_Drawing.vsdx"/></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5"/>
  <sheetViews>
    <sheetView workbookViewId="0">
      <selection activeCell="C11" sqref="C11"/>
    </sheetView>
  </sheetViews>
  <sheetFormatPr defaultColWidth="9" defaultRowHeight="15"/>
  <cols>
    <col min="1" max="1" width="4" style="48" customWidth="1"/>
    <col min="2" max="2" width="24" style="48" customWidth="1"/>
    <col min="3" max="3" width="101" style="48" customWidth="1"/>
    <col min="4" max="1025" width="9.140625" style="48" customWidth="1"/>
  </cols>
  <sheetData>
    <row r="1" spans="1:3" ht="13.5" customHeight="1">
      <c r="A1" s="90" t="s">
        <v>0</v>
      </c>
      <c r="B1" s="90"/>
      <c r="C1" s="90"/>
    </row>
    <row r="2" spans="1:3" ht="18" customHeight="1">
      <c r="A2" s="13" t="s">
        <v>1</v>
      </c>
      <c r="B2" s="13" t="s">
        <v>2</v>
      </c>
      <c r="C2" s="13" t="s">
        <v>3</v>
      </c>
    </row>
    <row r="3" spans="1:3" ht="102">
      <c r="A3" s="33">
        <v>1</v>
      </c>
      <c r="B3" s="50" t="s">
        <v>4</v>
      </c>
      <c r="C3" s="9" t="s">
        <v>5</v>
      </c>
    </row>
    <row r="4" spans="1:3" ht="127.5">
      <c r="A4" s="33">
        <v>2</v>
      </c>
      <c r="B4" s="50" t="s">
        <v>6</v>
      </c>
      <c r="C4" s="9" t="s">
        <v>7</v>
      </c>
    </row>
    <row r="5" spans="1:3">
      <c r="A5" s="33"/>
      <c r="B5" s="50"/>
      <c r="C5" s="9"/>
    </row>
  </sheetData>
  <mergeCells count="1">
    <mergeCell ref="A1:C1"/>
  </mergeCells>
  <pageMargins left="0.7" right="0.7" top="0.37986111111111098" bottom="0.75" header="0.51180555555555496" footer="0.51180555555555496"/>
  <pageSetup paperSize="9" firstPageNumber="0" orientation="landscape" useFirstPageNumber="1"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
  <sheetViews>
    <sheetView topLeftCell="A7" zoomScale="85" zoomScaleNormal="85" workbookViewId="0">
      <selection activeCell="K23" sqref="K23"/>
    </sheetView>
  </sheetViews>
  <sheetFormatPr defaultColWidth="9" defaultRowHeight="15"/>
  <cols>
    <col min="1" max="8" width="9" customWidth="1"/>
    <col min="9" max="9" width="14.85546875" customWidth="1"/>
    <col min="10" max="1025" width="9" customWidth="1"/>
  </cols>
  <sheetData>
    <row r="1" spans="1:18" s="49" customFormat="1" ht="22.5" customHeight="1">
      <c r="A1" s="90" t="s">
        <v>8</v>
      </c>
      <c r="B1" s="90"/>
      <c r="C1" s="90"/>
      <c r="E1" s="91"/>
      <c r="F1" s="91"/>
      <c r="G1" s="91"/>
      <c r="H1" s="91"/>
      <c r="I1" s="91"/>
      <c r="J1" s="91"/>
      <c r="K1" s="91"/>
      <c r="L1" s="91"/>
      <c r="M1" s="91"/>
      <c r="N1" s="91"/>
      <c r="O1" s="91"/>
      <c r="P1" s="91"/>
      <c r="Q1" s="91"/>
      <c r="R1" s="91"/>
    </row>
  </sheetData>
  <mergeCells count="2">
    <mergeCell ref="A1:C1"/>
    <mergeCell ref="E1:R1"/>
  </mergeCells>
  <pageMargins left="0.7" right="0.7" top="0.75" bottom="0.75" header="0.51180555555555496" footer="0.51180555555555496"/>
  <pageSetup paperSize="9" firstPageNumber="0" orientation="portrait" useFirstPageNumber="1"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K7"/>
  <sheetViews>
    <sheetView zoomScale="85" zoomScaleNormal="85" workbookViewId="0">
      <selection activeCell="A2" sqref="A2:C2"/>
    </sheetView>
  </sheetViews>
  <sheetFormatPr defaultColWidth="9" defaultRowHeight="15"/>
  <cols>
    <col min="1" max="1" width="6.85546875" style="48" customWidth="1"/>
    <col min="2" max="2" width="34.42578125" style="48" customWidth="1"/>
    <col min="3" max="3" width="89.85546875" style="48" customWidth="1"/>
    <col min="4" max="1025" width="9.140625" style="48" customWidth="1"/>
  </cols>
  <sheetData>
    <row r="1" spans="1:3" ht="51" customHeight="1">
      <c r="A1" s="92" t="s">
        <v>128</v>
      </c>
      <c r="B1" s="92"/>
      <c r="C1" s="92"/>
    </row>
    <row r="2" spans="1:3" ht="20.25" customHeight="1">
      <c r="A2" s="93" t="s">
        <v>123</v>
      </c>
      <c r="B2" s="93"/>
      <c r="C2" s="93"/>
    </row>
    <row r="3" spans="1:3" ht="24.75" customHeight="1">
      <c r="A3" s="72" t="s">
        <v>1</v>
      </c>
      <c r="B3" s="72" t="s">
        <v>2</v>
      </c>
      <c r="C3" s="72" t="s">
        <v>3</v>
      </c>
    </row>
    <row r="4" spans="1:3" ht="138.75" customHeight="1">
      <c r="A4" s="34">
        <v>1</v>
      </c>
      <c r="B4" s="73" t="s">
        <v>4</v>
      </c>
      <c r="C4" s="59" t="s">
        <v>117</v>
      </c>
    </row>
    <row r="5" spans="1:3" ht="305.25" customHeight="1">
      <c r="A5" s="34">
        <v>2</v>
      </c>
      <c r="B5" s="73" t="s">
        <v>6</v>
      </c>
      <c r="C5" s="59" t="s">
        <v>118</v>
      </c>
    </row>
    <row r="6" spans="1:3" ht="22.5" customHeight="1">
      <c r="A6" s="34">
        <v>3</v>
      </c>
      <c r="B6" s="74" t="s">
        <v>9</v>
      </c>
      <c r="C6" s="75" t="s">
        <v>100</v>
      </c>
    </row>
    <row r="7" spans="1:3" ht="48.75" customHeight="1">
      <c r="A7" s="34">
        <v>4</v>
      </c>
      <c r="B7" s="75" t="s">
        <v>10</v>
      </c>
      <c r="C7" s="59" t="s">
        <v>119</v>
      </c>
    </row>
  </sheetData>
  <mergeCells count="2">
    <mergeCell ref="A1:C1"/>
    <mergeCell ref="A2:C2"/>
  </mergeCells>
  <pageMargins left="0.7" right="0.7" top="0.32013888888888897" bottom="0.75" header="0.51180555555555496" footer="0.51180555555555496"/>
  <pageSetup firstPageNumber="0" fitToHeight="0" orientation="landscape" useFirstPageNumber="1" horizontalDpi="300" verticalDpi="3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2:AA104"/>
  <sheetViews>
    <sheetView tabSelected="1" zoomScale="55" zoomScaleNormal="55" workbookViewId="0">
      <selection activeCell="AD43" sqref="AD43"/>
    </sheetView>
  </sheetViews>
  <sheetFormatPr defaultColWidth="9" defaultRowHeight="15"/>
  <cols>
    <col min="1" max="1" width="2.140625" style="78" customWidth="1"/>
    <col min="2" max="2" width="20.85546875" style="78" customWidth="1"/>
    <col min="3" max="10" width="9" style="78" customWidth="1"/>
    <col min="11" max="11" width="13.42578125" style="78" customWidth="1"/>
    <col min="12" max="12" width="12.42578125" style="78" customWidth="1"/>
    <col min="13" max="13" width="11.7109375" style="78" customWidth="1"/>
    <col min="14" max="1025" width="9" style="78" customWidth="1"/>
    <col min="1026" max="16384" width="9" style="78"/>
  </cols>
  <sheetData>
    <row r="2" spans="1:13" s="76" customFormat="1" ht="15" customHeight="1">
      <c r="A2" s="94" t="s">
        <v>11</v>
      </c>
      <c r="B2" s="94"/>
      <c r="C2" s="94"/>
    </row>
    <row r="3" spans="1:13" ht="15" customHeight="1">
      <c r="A3" s="77"/>
      <c r="B3" s="77"/>
      <c r="C3" s="77"/>
      <c r="K3" s="79"/>
      <c r="L3" s="79"/>
      <c r="M3" s="79"/>
    </row>
    <row r="4" spans="1:13" ht="15" customHeight="1">
      <c r="A4" s="77"/>
      <c r="B4" s="80" t="s">
        <v>12</v>
      </c>
      <c r="C4" s="77"/>
    </row>
    <row r="5" spans="1:13" ht="15" customHeight="1">
      <c r="A5" s="77"/>
      <c r="B5" s="84"/>
      <c r="C5" s="77"/>
    </row>
    <row r="6" spans="1:13" ht="15" customHeight="1">
      <c r="A6" s="77"/>
      <c r="B6" s="84"/>
      <c r="C6" s="77"/>
    </row>
    <row r="7" spans="1:13" ht="15" customHeight="1">
      <c r="A7" s="77"/>
      <c r="B7" s="84"/>
      <c r="C7" s="77"/>
    </row>
    <row r="8" spans="1:13" ht="15" customHeight="1">
      <c r="A8" s="77"/>
      <c r="B8" s="84"/>
      <c r="C8" s="77"/>
    </row>
    <row r="9" spans="1:13" ht="15" customHeight="1">
      <c r="A9" s="77"/>
      <c r="B9" s="84"/>
      <c r="C9" s="77"/>
    </row>
    <row r="10" spans="1:13" ht="15" customHeight="1">
      <c r="A10" s="77"/>
      <c r="B10" s="84"/>
      <c r="C10" s="77"/>
    </row>
    <row r="11" spans="1:13" ht="15" customHeight="1">
      <c r="A11" s="77"/>
      <c r="B11" s="84"/>
      <c r="C11" s="77"/>
    </row>
    <row r="12" spans="1:13" ht="15" customHeight="1">
      <c r="A12" s="77"/>
      <c r="B12" s="84"/>
      <c r="C12" s="77"/>
    </row>
    <row r="13" spans="1:13" ht="15" customHeight="1">
      <c r="A13" s="77"/>
      <c r="B13" s="84"/>
      <c r="C13" s="77"/>
    </row>
    <row r="14" spans="1:13" ht="15" customHeight="1">
      <c r="A14" s="77"/>
      <c r="B14" s="84"/>
      <c r="C14" s="77"/>
    </row>
    <row r="15" spans="1:13" ht="15" customHeight="1">
      <c r="A15" s="77"/>
      <c r="B15" s="84"/>
      <c r="C15" s="77"/>
    </row>
    <row r="16" spans="1:13" ht="15" customHeight="1">
      <c r="A16" s="77"/>
      <c r="B16" s="84"/>
      <c r="C16" s="77"/>
    </row>
    <row r="17" spans="1:3" ht="15" customHeight="1">
      <c r="A17" s="77"/>
      <c r="B17" s="84"/>
      <c r="C17" s="77"/>
    </row>
    <row r="18" spans="1:3" ht="15" customHeight="1">
      <c r="A18" s="77"/>
      <c r="B18" s="84"/>
      <c r="C18" s="77"/>
    </row>
    <row r="19" spans="1:3" ht="15" customHeight="1">
      <c r="A19" s="77"/>
      <c r="B19" s="84"/>
      <c r="C19" s="77"/>
    </row>
    <row r="20" spans="1:3" ht="15" customHeight="1">
      <c r="A20" s="77"/>
      <c r="B20" s="84"/>
      <c r="C20" s="77"/>
    </row>
    <row r="21" spans="1:3" ht="15" customHeight="1">
      <c r="A21" s="77"/>
      <c r="B21" s="84"/>
      <c r="C21" s="77"/>
    </row>
    <row r="22" spans="1:3" ht="15" customHeight="1">
      <c r="A22" s="77"/>
      <c r="B22" s="84"/>
      <c r="C22" s="77"/>
    </row>
    <row r="23" spans="1:3" ht="15" customHeight="1">
      <c r="A23" s="77"/>
      <c r="B23" s="84"/>
      <c r="C23" s="77"/>
    </row>
    <row r="24" spans="1:3" ht="15" customHeight="1">
      <c r="A24" s="77"/>
      <c r="B24" s="84"/>
      <c r="C24" s="77"/>
    </row>
    <row r="25" spans="1:3" ht="15" customHeight="1">
      <c r="A25" s="77"/>
      <c r="B25" s="84"/>
      <c r="C25" s="77"/>
    </row>
    <row r="26" spans="1:3" ht="15" customHeight="1">
      <c r="A26" s="77"/>
      <c r="B26" s="84"/>
      <c r="C26" s="77"/>
    </row>
    <row r="27" spans="1:3" ht="15" customHeight="1">
      <c r="A27" s="77"/>
      <c r="B27" s="84"/>
      <c r="C27" s="77"/>
    </row>
    <row r="28" spans="1:3" ht="15" customHeight="1">
      <c r="A28" s="77"/>
      <c r="B28" s="84"/>
      <c r="C28" s="77"/>
    </row>
    <row r="29" spans="1:3" ht="15" customHeight="1">
      <c r="A29" s="77"/>
      <c r="B29" s="84"/>
      <c r="C29" s="77"/>
    </row>
    <row r="30" spans="1:3" ht="15" customHeight="1">
      <c r="A30" s="77"/>
      <c r="B30" s="84"/>
      <c r="C30" s="77"/>
    </row>
    <row r="31" spans="1:3" ht="15" customHeight="1">
      <c r="A31" s="77"/>
      <c r="B31" s="84"/>
      <c r="C31" s="77"/>
    </row>
    <row r="32" spans="1:3" ht="15" customHeight="1">
      <c r="A32" s="77"/>
      <c r="B32" s="84"/>
      <c r="C32" s="77"/>
    </row>
    <row r="33" spans="1:12" ht="15" customHeight="1">
      <c r="A33" s="77"/>
      <c r="B33" s="84"/>
      <c r="C33" s="77"/>
    </row>
    <row r="34" spans="1:12" ht="15" customHeight="1">
      <c r="A34" s="77"/>
      <c r="B34" s="84"/>
      <c r="C34" s="77"/>
    </row>
    <row r="35" spans="1:12" ht="15" customHeight="1">
      <c r="A35" s="77"/>
      <c r="B35" s="84"/>
      <c r="C35" s="77"/>
    </row>
    <row r="36" spans="1:12" ht="15" customHeight="1">
      <c r="A36" s="77"/>
      <c r="B36" s="84"/>
      <c r="C36" s="77"/>
      <c r="L36"/>
    </row>
    <row r="37" spans="1:12" ht="15" customHeight="1">
      <c r="A37" s="77"/>
      <c r="B37" s="84"/>
      <c r="C37" s="77"/>
    </row>
    <row r="38" spans="1:12" ht="15" customHeight="1">
      <c r="A38" s="77"/>
      <c r="B38" s="84"/>
      <c r="C38" s="77"/>
    </row>
    <row r="39" spans="1:12" ht="15" customHeight="1">
      <c r="A39" s="77"/>
      <c r="B39" s="84"/>
      <c r="C39" s="77"/>
    </row>
    <row r="40" spans="1:12" ht="15" customHeight="1">
      <c r="A40" s="77"/>
      <c r="B40" s="84"/>
      <c r="C40" s="77"/>
    </row>
    <row r="41" spans="1:12" ht="15" customHeight="1">
      <c r="A41" s="77"/>
      <c r="B41" s="84"/>
      <c r="C41" s="77"/>
    </row>
    <row r="42" spans="1:12" ht="15" customHeight="1">
      <c r="A42" s="77"/>
      <c r="B42" s="84"/>
      <c r="C42" s="77"/>
    </row>
    <row r="43" spans="1:12" ht="15" customHeight="1">
      <c r="A43" s="77"/>
      <c r="B43" s="84"/>
      <c r="C43" s="77"/>
    </row>
    <row r="44" spans="1:12" ht="15" customHeight="1">
      <c r="A44" s="77"/>
      <c r="B44" s="84"/>
      <c r="C44" s="77"/>
    </row>
    <row r="45" spans="1:12" ht="15" customHeight="1">
      <c r="A45" s="77"/>
      <c r="B45" s="88"/>
      <c r="C45" s="77"/>
    </row>
    <row r="46" spans="1:12" ht="15" customHeight="1">
      <c r="A46" s="77"/>
      <c r="B46" s="88"/>
      <c r="C46" s="77"/>
    </row>
    <row r="47" spans="1:12" ht="15" customHeight="1">
      <c r="A47" s="77"/>
      <c r="B47" s="88"/>
      <c r="C47" s="77"/>
    </row>
    <row r="48" spans="1:12" ht="15" customHeight="1">
      <c r="A48" s="77"/>
      <c r="B48" s="88"/>
      <c r="C48" s="77"/>
    </row>
    <row r="49" spans="1:27" ht="15" customHeight="1">
      <c r="A49" s="77"/>
      <c r="B49" s="88"/>
      <c r="C49" s="77"/>
    </row>
    <row r="50" spans="1:27" ht="15" customHeight="1">
      <c r="A50" s="77"/>
      <c r="B50" s="88"/>
      <c r="C50" s="77"/>
    </row>
    <row r="51" spans="1:27" ht="15" customHeight="1">
      <c r="A51" s="77"/>
      <c r="B51" s="88"/>
      <c r="C51" s="77"/>
    </row>
    <row r="52" spans="1:27" ht="15" customHeight="1">
      <c r="A52" s="77"/>
      <c r="B52" s="88"/>
      <c r="C52" s="77"/>
    </row>
    <row r="53" spans="1:27" ht="15" customHeight="1">
      <c r="A53" s="77"/>
      <c r="B53" s="88"/>
      <c r="C53" s="77"/>
    </row>
    <row r="54" spans="1:27" ht="15" customHeight="1">
      <c r="A54" s="77"/>
      <c r="B54" s="88"/>
      <c r="C54" s="77"/>
    </row>
    <row r="55" spans="1:27" ht="15" customHeight="1">
      <c r="A55" s="77"/>
      <c r="B55" s="84"/>
      <c r="C55" s="77"/>
    </row>
    <row r="56" spans="1:27" ht="15" customHeight="1">
      <c r="A56" s="77"/>
      <c r="B56" s="84"/>
      <c r="C56" s="77"/>
    </row>
    <row r="57" spans="1:27" ht="15" customHeight="1">
      <c r="A57" s="77"/>
      <c r="B57" s="84"/>
      <c r="C57" s="77"/>
    </row>
    <row r="58" spans="1:27" ht="15" customHeight="1">
      <c r="A58" s="77"/>
      <c r="B58" s="86"/>
      <c r="C58" s="77"/>
    </row>
    <row r="59" spans="1:27" ht="15" customHeight="1">
      <c r="A59" s="77"/>
      <c r="B59" s="86"/>
      <c r="C59" s="77"/>
    </row>
    <row r="60" spans="1:27" ht="15" customHeight="1">
      <c r="A60"/>
      <c r="B60" s="86"/>
      <c r="C60" s="77"/>
      <c r="AA60"/>
    </row>
    <row r="61" spans="1:27" ht="15" customHeight="1">
      <c r="A61" s="77"/>
      <c r="B61" s="86"/>
      <c r="C61" s="77"/>
    </row>
    <row r="62" spans="1:27" ht="15" customHeight="1">
      <c r="A62" s="77"/>
      <c r="B62" s="86"/>
      <c r="C62" s="77"/>
    </row>
    <row r="63" spans="1:27" ht="15" customHeight="1">
      <c r="A63" s="77"/>
      <c r="B63" s="86"/>
      <c r="C63" s="77"/>
    </row>
    <row r="64" spans="1:27" ht="15" customHeight="1">
      <c r="A64" s="77"/>
      <c r="B64" s="84"/>
      <c r="C64" s="77"/>
    </row>
    <row r="65" spans="1:7" ht="15" customHeight="1">
      <c r="A65" s="77"/>
      <c r="B65" s="84"/>
      <c r="C65" s="77"/>
    </row>
    <row r="66" spans="1:7" ht="18.75">
      <c r="B66" s="81" t="s">
        <v>13</v>
      </c>
    </row>
    <row r="67" spans="1:7">
      <c r="G67"/>
    </row>
    <row r="85" spans="10:10">
      <c r="J85"/>
    </row>
    <row r="103" spans="2:2" ht="18.75">
      <c r="B103" s="82"/>
    </row>
    <row r="104" spans="2:2" ht="16.5">
      <c r="B104" s="83"/>
    </row>
  </sheetData>
  <mergeCells count="1">
    <mergeCell ref="A2:C2"/>
  </mergeCells>
  <pageMargins left="0.89027777777777795" right="0.7" top="0.359722222222222" bottom="0.75" header="0.51180555555555496" footer="0.51180555555555496"/>
  <pageSetup firstPageNumber="0" fitToHeight="0" orientation="landscape" useFirstPageNumber="1" horizontalDpi="300" verticalDpi="300" r:id="rId1"/>
  <drawing r:id="rId2"/>
  <legacyDrawing r:id="rId3"/>
  <oleObjects>
    <mc:AlternateContent xmlns:mc="http://schemas.openxmlformats.org/markup-compatibility/2006">
      <mc:Choice Requires="x14">
        <oleObject progId="Visio.Drawing.15" shapeId="2058" r:id="rId4">
          <objectPr defaultSize="0" autoPict="0" r:id="rId5">
            <anchor moveWithCells="1" sizeWithCells="1">
              <from>
                <xdr:col>1</xdr:col>
                <xdr:colOff>352425</xdr:colOff>
                <xdr:row>67</xdr:row>
                <xdr:rowOff>95250</xdr:rowOff>
              </from>
              <to>
                <xdr:col>16</xdr:col>
                <xdr:colOff>381000</xdr:colOff>
                <xdr:row>102</xdr:row>
                <xdr:rowOff>180975</xdr:rowOff>
              </to>
            </anchor>
          </objectPr>
        </oleObject>
      </mc:Choice>
      <mc:Fallback>
        <oleObject progId="Visio.Drawing.15" shapeId="2058" r:id="rId4"/>
      </mc:Fallback>
    </mc:AlternateContent>
    <mc:AlternateContent xmlns:mc="http://schemas.openxmlformats.org/markup-compatibility/2006">
      <mc:Choice Requires="x14">
        <oleObject progId="Visio.Drawing.15" shapeId="2062" r:id="rId6">
          <objectPr defaultSize="0" autoPict="0" r:id="rId7">
            <anchor moveWithCells="1">
              <from>
                <xdr:col>1</xdr:col>
                <xdr:colOff>142875</xdr:colOff>
                <xdr:row>6</xdr:row>
                <xdr:rowOff>0</xdr:rowOff>
              </from>
              <to>
                <xdr:col>25</xdr:col>
                <xdr:colOff>266700</xdr:colOff>
                <xdr:row>63</xdr:row>
                <xdr:rowOff>161925</xdr:rowOff>
              </to>
            </anchor>
          </objectPr>
        </oleObject>
      </mc:Choice>
      <mc:Fallback>
        <oleObject progId="Visio.Drawing.15" shapeId="2062" r:id="rId6"/>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6"/>
  <sheetViews>
    <sheetView zoomScaleNormal="100" workbookViewId="0">
      <pane ySplit="3" topLeftCell="A4" activePane="bottomLeft" state="frozen"/>
      <selection pane="bottomLeft" activeCell="A5" sqref="A5"/>
    </sheetView>
  </sheetViews>
  <sheetFormatPr defaultColWidth="9" defaultRowHeight="15"/>
  <cols>
    <col min="1" max="1" width="4.7109375" style="46" customWidth="1"/>
    <col min="2" max="2" width="14.7109375" style="46" bestFit="1" customWidth="1"/>
    <col min="3" max="3" width="15.5703125" style="46" customWidth="1"/>
    <col min="4" max="4" width="28.140625" style="46" customWidth="1"/>
    <col min="5" max="5" width="16.28515625" style="54" customWidth="1"/>
    <col min="6" max="6" width="7" style="46" customWidth="1"/>
    <col min="7" max="7" width="5.28515625" style="46" customWidth="1"/>
    <col min="8" max="8" width="6.42578125" style="46" customWidth="1"/>
    <col min="9" max="9" width="6.85546875" style="46" customWidth="1"/>
    <col min="10" max="10" width="7.28515625" style="46" customWidth="1"/>
    <col min="11" max="11" width="13.5703125" style="46" customWidth="1"/>
    <col min="12" max="12" width="17.7109375" style="46" customWidth="1"/>
    <col min="13" max="13" width="26.7109375" style="46" customWidth="1"/>
    <col min="14" max="14" width="24.42578125" style="46" customWidth="1"/>
    <col min="15" max="15" width="8.42578125" style="46" customWidth="1"/>
    <col min="16" max="16" width="8.7109375" style="46" customWidth="1"/>
    <col min="17" max="18" width="9" style="46" customWidth="1"/>
    <col min="19" max="19" width="7.85546875" style="46" customWidth="1"/>
    <col min="20" max="20" width="26.42578125" style="46" customWidth="1"/>
    <col min="21" max="1025" width="9" style="46" customWidth="1"/>
    <col min="1026" max="16384" width="9" style="46"/>
  </cols>
  <sheetData>
    <row r="1" spans="1:20" ht="24" customHeight="1">
      <c r="A1" s="96" t="s">
        <v>14</v>
      </c>
      <c r="B1" s="96"/>
      <c r="C1" s="96"/>
      <c r="D1" s="96"/>
      <c r="E1" s="53"/>
      <c r="F1" s="47"/>
      <c r="G1" s="47"/>
      <c r="H1" s="47"/>
      <c r="I1" s="47"/>
      <c r="J1" s="47"/>
      <c r="K1" s="47"/>
      <c r="L1" s="47"/>
      <c r="M1" s="47"/>
      <c r="N1" s="47"/>
      <c r="O1" s="47"/>
      <c r="P1" s="47"/>
      <c r="Q1" s="47"/>
      <c r="R1" s="47"/>
      <c r="S1" s="47"/>
      <c r="T1" s="71"/>
    </row>
    <row r="2" spans="1:20" s="54" customFormat="1" ht="57" customHeight="1">
      <c r="A2" s="97" t="s">
        <v>1</v>
      </c>
      <c r="B2" s="97" t="s">
        <v>15</v>
      </c>
      <c r="C2" s="97" t="s">
        <v>16</v>
      </c>
      <c r="D2" s="97" t="s">
        <v>17</v>
      </c>
      <c r="E2" s="97" t="s">
        <v>18</v>
      </c>
      <c r="F2" s="97" t="s">
        <v>19</v>
      </c>
      <c r="G2" s="97" t="s">
        <v>20</v>
      </c>
      <c r="H2" s="97"/>
      <c r="I2" s="97"/>
      <c r="J2" s="97" t="s">
        <v>21</v>
      </c>
      <c r="K2" s="97" t="s">
        <v>22</v>
      </c>
      <c r="L2" s="97" t="s">
        <v>23</v>
      </c>
      <c r="M2" s="97" t="s">
        <v>24</v>
      </c>
      <c r="N2" s="97" t="s">
        <v>25</v>
      </c>
      <c r="O2" s="98" t="s">
        <v>26</v>
      </c>
      <c r="P2" s="98"/>
      <c r="Q2" s="98" t="s">
        <v>27</v>
      </c>
      <c r="R2" s="98"/>
      <c r="S2" s="98"/>
      <c r="T2" s="95" t="s">
        <v>28</v>
      </c>
    </row>
    <row r="3" spans="1:20" s="54" customFormat="1" ht="51">
      <c r="A3" s="97"/>
      <c r="B3" s="97"/>
      <c r="C3" s="97"/>
      <c r="D3" s="97"/>
      <c r="E3" s="97"/>
      <c r="F3" s="97"/>
      <c r="G3" s="55" t="s">
        <v>29</v>
      </c>
      <c r="H3" s="55" t="s">
        <v>30</v>
      </c>
      <c r="I3" s="55" t="s">
        <v>31</v>
      </c>
      <c r="J3" s="97"/>
      <c r="K3" s="97"/>
      <c r="L3" s="97"/>
      <c r="M3" s="97"/>
      <c r="N3" s="97"/>
      <c r="O3" s="70" t="s">
        <v>32</v>
      </c>
      <c r="P3" s="70" t="s">
        <v>33</v>
      </c>
      <c r="Q3" s="70" t="s">
        <v>34</v>
      </c>
      <c r="R3" s="70" t="s">
        <v>35</v>
      </c>
      <c r="S3" s="70" t="s">
        <v>36</v>
      </c>
      <c r="T3" s="95"/>
    </row>
    <row r="4" spans="1:20" s="54" customFormat="1" ht="121.5" customHeight="1">
      <c r="A4" s="69">
        <v>1</v>
      </c>
      <c r="B4" s="65" t="s">
        <v>108</v>
      </c>
      <c r="C4" s="65" t="s">
        <v>111</v>
      </c>
      <c r="D4" s="65" t="s">
        <v>125</v>
      </c>
      <c r="E4" s="65" t="s">
        <v>109</v>
      </c>
      <c r="F4" s="69">
        <v>2</v>
      </c>
      <c r="G4" s="55">
        <v>2</v>
      </c>
      <c r="H4" s="55"/>
      <c r="I4" s="55"/>
      <c r="J4" s="85" t="s">
        <v>124</v>
      </c>
      <c r="K4" s="60" t="s">
        <v>107</v>
      </c>
      <c r="L4" s="60" t="s">
        <v>104</v>
      </c>
      <c r="M4" s="61" t="s">
        <v>101</v>
      </c>
      <c r="N4" s="61" t="s">
        <v>102</v>
      </c>
      <c r="O4" s="62" t="s">
        <v>42</v>
      </c>
      <c r="P4" s="63" t="s">
        <v>39</v>
      </c>
      <c r="Q4" s="64" t="s">
        <v>40</v>
      </c>
      <c r="R4" s="64" t="s">
        <v>41</v>
      </c>
      <c r="S4" s="64" t="s">
        <v>41</v>
      </c>
      <c r="T4" s="40"/>
    </row>
    <row r="5" spans="1:20" ht="76.5">
      <c r="A5" s="69">
        <v>2</v>
      </c>
      <c r="B5" s="65" t="s">
        <v>108</v>
      </c>
      <c r="C5" s="65" t="s">
        <v>103</v>
      </c>
      <c r="D5" s="65" t="s">
        <v>112</v>
      </c>
      <c r="E5" s="65" t="s">
        <v>113</v>
      </c>
      <c r="F5" s="69">
        <v>3</v>
      </c>
      <c r="G5" s="55">
        <v>3</v>
      </c>
      <c r="H5" s="55"/>
      <c r="I5" s="55"/>
      <c r="J5" s="56"/>
      <c r="K5" s="60" t="s">
        <v>107</v>
      </c>
      <c r="L5" s="60" t="s">
        <v>114</v>
      </c>
      <c r="M5" s="61"/>
      <c r="N5" s="61"/>
      <c r="O5" s="62"/>
      <c r="P5" s="63"/>
      <c r="Q5" s="64"/>
      <c r="R5" s="64"/>
      <c r="S5" s="64"/>
      <c r="T5" s="40" t="s">
        <v>126</v>
      </c>
    </row>
    <row r="6" spans="1:20" ht="76.5">
      <c r="A6" s="69">
        <v>3</v>
      </c>
      <c r="B6" s="65" t="s">
        <v>108</v>
      </c>
      <c r="C6" s="65" t="s">
        <v>70</v>
      </c>
      <c r="D6" s="65" t="s">
        <v>115</v>
      </c>
      <c r="E6" s="65" t="s">
        <v>116</v>
      </c>
      <c r="F6" s="69">
        <v>3</v>
      </c>
      <c r="G6" s="55">
        <v>3</v>
      </c>
      <c r="H6" s="55"/>
      <c r="I6" s="55"/>
      <c r="J6" s="56"/>
      <c r="K6" s="60" t="s">
        <v>107</v>
      </c>
      <c r="L6" s="60" t="s">
        <v>120</v>
      </c>
      <c r="M6" s="61"/>
      <c r="N6" s="61"/>
      <c r="O6" s="62"/>
      <c r="P6" s="63"/>
      <c r="Q6" s="64"/>
      <c r="R6" s="64"/>
      <c r="S6" s="64"/>
      <c r="T6" s="85" t="s">
        <v>127</v>
      </c>
    </row>
  </sheetData>
  <mergeCells count="16">
    <mergeCell ref="T2:T3"/>
    <mergeCell ref="A1:D1"/>
    <mergeCell ref="G2:I2"/>
    <mergeCell ref="O2:P2"/>
    <mergeCell ref="Q2:S2"/>
    <mergeCell ref="A2:A3"/>
    <mergeCell ref="B2:B3"/>
    <mergeCell ref="C2:C3"/>
    <mergeCell ref="D2:D3"/>
    <mergeCell ref="E2:E3"/>
    <mergeCell ref="F2:F3"/>
    <mergeCell ref="J2:J3"/>
    <mergeCell ref="K2:K3"/>
    <mergeCell ref="L2:L3"/>
    <mergeCell ref="M2:M3"/>
    <mergeCell ref="N2:N3"/>
  </mergeCells>
  <phoneticPr fontId="24" type="noConversion"/>
  <pageMargins left="0.47986111111111102" right="0.37013888888888902" top="0.359722222222222" bottom="0.49027777777777798" header="0.51180555555555496" footer="0.51180555555555496"/>
  <pageSetup firstPageNumber="0" fitToWidth="0" orientation="landscape" useFirstPageNumber="1"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
  <sheetViews>
    <sheetView workbookViewId="0">
      <selection activeCell="D9" sqref="D9"/>
    </sheetView>
  </sheetViews>
  <sheetFormatPr defaultColWidth="8.85546875" defaultRowHeight="15"/>
  <cols>
    <col min="2" max="2" width="17.28515625" customWidth="1"/>
    <col min="3" max="3" width="10.7109375" customWidth="1"/>
    <col min="4" max="4" width="30" bestFit="1" customWidth="1"/>
    <col min="5" max="5" width="24.28515625" customWidth="1"/>
    <col min="12" max="12" width="18.140625" customWidth="1"/>
    <col min="13" max="13" width="31" bestFit="1" customWidth="1"/>
    <col min="14" max="14" width="26.7109375" customWidth="1"/>
    <col min="20" max="20" width="18.140625" customWidth="1"/>
  </cols>
  <sheetData>
    <row r="1" spans="1:20">
      <c r="A1" s="99" t="s">
        <v>99</v>
      </c>
      <c r="B1" s="100"/>
      <c r="C1" s="100"/>
      <c r="D1" s="100"/>
      <c r="E1" s="100"/>
      <c r="F1" s="100"/>
      <c r="G1" s="100"/>
      <c r="H1" s="100"/>
      <c r="I1" s="100"/>
      <c r="J1" s="100"/>
      <c r="K1" s="100"/>
      <c r="L1" s="100"/>
      <c r="M1" s="100"/>
      <c r="N1" s="100"/>
      <c r="O1" s="100"/>
      <c r="P1" s="100"/>
      <c r="Q1" s="100"/>
      <c r="R1" s="100"/>
      <c r="S1" s="100"/>
    </row>
    <row r="2" spans="1:20">
      <c r="A2" s="101" t="s">
        <v>1</v>
      </c>
      <c r="B2" s="101" t="s">
        <v>15</v>
      </c>
      <c r="C2" s="101" t="s">
        <v>16</v>
      </c>
      <c r="D2" s="101" t="s">
        <v>17</v>
      </c>
      <c r="E2" s="101" t="s">
        <v>18</v>
      </c>
      <c r="F2" s="101" t="s">
        <v>19</v>
      </c>
      <c r="G2" s="101" t="s">
        <v>20</v>
      </c>
      <c r="H2" s="101"/>
      <c r="I2" s="101"/>
      <c r="J2" s="102" t="s">
        <v>21</v>
      </c>
      <c r="K2" s="102" t="s">
        <v>22</v>
      </c>
      <c r="L2" s="102" t="s">
        <v>23</v>
      </c>
      <c r="M2" s="102" t="s">
        <v>24</v>
      </c>
      <c r="N2" s="102" t="s">
        <v>25</v>
      </c>
      <c r="O2" s="103" t="s">
        <v>26</v>
      </c>
      <c r="P2" s="103"/>
      <c r="Q2" s="103" t="s">
        <v>27</v>
      </c>
      <c r="R2" s="103"/>
      <c r="S2" s="103"/>
    </row>
    <row r="3" spans="1:20" ht="51">
      <c r="A3" s="101"/>
      <c r="B3" s="101"/>
      <c r="C3" s="101"/>
      <c r="D3" s="101"/>
      <c r="E3" s="101"/>
      <c r="F3" s="101"/>
      <c r="G3" s="51" t="s">
        <v>29</v>
      </c>
      <c r="H3" s="51" t="s">
        <v>30</v>
      </c>
      <c r="I3" s="51" t="s">
        <v>31</v>
      </c>
      <c r="J3" s="102"/>
      <c r="K3" s="102"/>
      <c r="L3" s="102"/>
      <c r="M3" s="102"/>
      <c r="N3" s="102"/>
      <c r="O3" s="52" t="s">
        <v>32</v>
      </c>
      <c r="P3" s="52" t="s">
        <v>33</v>
      </c>
      <c r="Q3" s="52" t="s">
        <v>34</v>
      </c>
      <c r="R3" s="52" t="s">
        <v>35</v>
      </c>
      <c r="S3" s="52" t="s">
        <v>36</v>
      </c>
      <c r="T3" s="61" t="s">
        <v>106</v>
      </c>
    </row>
    <row r="4" spans="1:20" ht="194.25" customHeight="1">
      <c r="A4" s="58">
        <v>1</v>
      </c>
      <c r="B4" s="65" t="s">
        <v>108</v>
      </c>
      <c r="C4" s="65" t="s">
        <v>110</v>
      </c>
      <c r="D4" s="65" t="s">
        <v>133</v>
      </c>
      <c r="E4" s="65" t="s">
        <v>121</v>
      </c>
      <c r="F4" s="58">
        <v>3</v>
      </c>
      <c r="G4" s="55">
        <v>3</v>
      </c>
      <c r="H4" s="55"/>
      <c r="I4" s="55"/>
      <c r="J4" s="56" t="s">
        <v>124</v>
      </c>
      <c r="K4" s="60" t="s">
        <v>107</v>
      </c>
      <c r="L4" s="60" t="s">
        <v>122</v>
      </c>
      <c r="M4" s="61" t="s">
        <v>101</v>
      </c>
      <c r="N4" s="61" t="s">
        <v>102</v>
      </c>
      <c r="O4" s="62" t="s">
        <v>42</v>
      </c>
      <c r="P4" s="63" t="s">
        <v>39</v>
      </c>
      <c r="Q4" s="64" t="s">
        <v>40</v>
      </c>
      <c r="R4" s="64" t="s">
        <v>41</v>
      </c>
      <c r="S4" s="64" t="s">
        <v>41</v>
      </c>
      <c r="T4" s="57" t="s">
        <v>132</v>
      </c>
    </row>
    <row r="6" spans="1:20">
      <c r="D6" s="89"/>
    </row>
  </sheetData>
  <mergeCells count="15">
    <mergeCell ref="A1:S1"/>
    <mergeCell ref="A2:A3"/>
    <mergeCell ref="B2:B3"/>
    <mergeCell ref="C2:C3"/>
    <mergeCell ref="D2:D3"/>
    <mergeCell ref="E2:E3"/>
    <mergeCell ref="F2:F3"/>
    <mergeCell ref="G2:I2"/>
    <mergeCell ref="J2:J3"/>
    <mergeCell ref="K2:K3"/>
    <mergeCell ref="L2:L3"/>
    <mergeCell ref="M2:M3"/>
    <mergeCell ref="N2:N3"/>
    <mergeCell ref="O2:P2"/>
    <mergeCell ref="Q2:S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C11" sqref="C11"/>
    </sheetView>
  </sheetViews>
  <sheetFormatPr defaultColWidth="8.85546875" defaultRowHeight="15"/>
  <cols>
    <col min="1" max="1" width="4.42578125" customWidth="1"/>
    <col min="2" max="2" width="69.42578125" customWidth="1"/>
    <col min="3" max="3" width="32.42578125" customWidth="1"/>
  </cols>
  <sheetData>
    <row r="1" spans="1:3" ht="18.75">
      <c r="A1" s="66">
        <v>1</v>
      </c>
      <c r="B1" s="67" t="s">
        <v>98</v>
      </c>
      <c r="C1" s="68" t="s">
        <v>105</v>
      </c>
    </row>
    <row r="2" spans="1:3" ht="18.75">
      <c r="A2" s="66">
        <v>2</v>
      </c>
      <c r="B2" s="67" t="s">
        <v>75</v>
      </c>
      <c r="C2" s="68" t="s">
        <v>105</v>
      </c>
    </row>
    <row r="3" spans="1:3" ht="18.75">
      <c r="A3" s="66">
        <v>3</v>
      </c>
      <c r="B3" s="68" t="s">
        <v>130</v>
      </c>
      <c r="C3" s="68" t="s">
        <v>129</v>
      </c>
    </row>
    <row r="4" spans="1:3" ht="18.75">
      <c r="A4" s="66">
        <v>4</v>
      </c>
      <c r="B4" s="87" t="s">
        <v>131</v>
      </c>
      <c r="C4" s="68" t="s">
        <v>129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K4"/>
  <sheetViews>
    <sheetView zoomScale="85" zoomScaleNormal="85" workbookViewId="0">
      <selection activeCell="B4" sqref="B4"/>
    </sheetView>
  </sheetViews>
  <sheetFormatPr defaultColWidth="9" defaultRowHeight="15"/>
  <cols>
    <col min="1" max="1" width="4.7109375" style="28" customWidth="1"/>
    <col min="2" max="2" width="8.42578125" style="28" customWidth="1"/>
    <col min="3" max="3" width="7.85546875" style="28" customWidth="1"/>
    <col min="4" max="4" width="18.42578125" style="28" customWidth="1"/>
    <col min="5" max="5" width="11.42578125" style="29"/>
    <col min="6" max="6" width="7" style="28" customWidth="1"/>
    <col min="7" max="7" width="5.28515625" style="28" customWidth="1"/>
    <col min="8" max="8" width="6.7109375" style="28" customWidth="1"/>
    <col min="9" max="9" width="6.42578125" style="28" customWidth="1"/>
    <col min="10" max="10" width="7.28515625" style="30" customWidth="1"/>
    <col min="11" max="11" width="11" style="30" customWidth="1"/>
    <col min="12" max="12" width="13.28515625" style="30" customWidth="1"/>
    <col min="13" max="13" width="14.42578125" style="30" customWidth="1"/>
    <col min="14" max="14" width="19.42578125" style="28" customWidth="1"/>
    <col min="15" max="15" width="9.85546875" style="28" customWidth="1"/>
    <col min="16" max="16" width="8.7109375" style="28" customWidth="1"/>
    <col min="17" max="1025" width="9" style="28" customWidth="1"/>
  </cols>
  <sheetData>
    <row r="1" spans="1:20" ht="24" customHeight="1">
      <c r="A1" s="105" t="s">
        <v>44</v>
      </c>
      <c r="B1" s="105"/>
      <c r="C1" s="105"/>
      <c r="D1" s="105"/>
      <c r="E1" s="36"/>
      <c r="F1" s="37"/>
      <c r="G1" s="37"/>
      <c r="H1" s="37"/>
      <c r="I1" s="37"/>
      <c r="J1" s="39"/>
      <c r="K1" s="39"/>
      <c r="L1" s="39"/>
      <c r="M1" s="39"/>
      <c r="N1" s="37"/>
      <c r="O1" s="37"/>
      <c r="P1" s="37"/>
    </row>
    <row r="2" spans="1:20" s="27" customFormat="1" ht="57" customHeight="1">
      <c r="A2" s="104" t="s">
        <v>1</v>
      </c>
      <c r="B2" s="104" t="s">
        <v>15</v>
      </c>
      <c r="C2" s="104" t="s">
        <v>16</v>
      </c>
      <c r="D2" s="104" t="s">
        <v>17</v>
      </c>
      <c r="E2" s="104" t="s">
        <v>18</v>
      </c>
      <c r="F2" s="104" t="s">
        <v>19</v>
      </c>
      <c r="G2" s="104" t="s">
        <v>20</v>
      </c>
      <c r="H2" s="104"/>
      <c r="I2" s="104"/>
      <c r="J2" s="107" t="s">
        <v>21</v>
      </c>
      <c r="K2" s="107" t="s">
        <v>22</v>
      </c>
      <c r="L2" s="107" t="s">
        <v>23</v>
      </c>
      <c r="M2" s="107" t="s">
        <v>24</v>
      </c>
      <c r="N2" s="107" t="s">
        <v>25</v>
      </c>
      <c r="O2" s="106" t="s">
        <v>26</v>
      </c>
      <c r="P2" s="106"/>
      <c r="Q2" s="106" t="s">
        <v>27</v>
      </c>
      <c r="R2" s="106"/>
      <c r="S2" s="106"/>
      <c r="T2" s="104" t="s">
        <v>28</v>
      </c>
    </row>
    <row r="3" spans="1:20" s="27" customFormat="1" ht="59.25" customHeight="1">
      <c r="A3" s="104"/>
      <c r="B3" s="104"/>
      <c r="C3" s="104"/>
      <c r="D3" s="104"/>
      <c r="E3" s="104"/>
      <c r="F3" s="104"/>
      <c r="G3" s="31" t="s">
        <v>29</v>
      </c>
      <c r="H3" s="31" t="s">
        <v>30</v>
      </c>
      <c r="I3" s="31" t="s">
        <v>31</v>
      </c>
      <c r="J3" s="107"/>
      <c r="K3" s="107"/>
      <c r="L3" s="107"/>
      <c r="M3" s="107"/>
      <c r="N3" s="107"/>
      <c r="O3" s="42" t="s">
        <v>32</v>
      </c>
      <c r="P3" s="42" t="s">
        <v>33</v>
      </c>
      <c r="Q3" s="42" t="s">
        <v>34</v>
      </c>
      <c r="R3" s="42" t="s">
        <v>35</v>
      </c>
      <c r="S3" s="42" t="s">
        <v>36</v>
      </c>
      <c r="T3" s="104"/>
    </row>
    <row r="4" spans="1:20" ht="233.1" customHeight="1">
      <c r="A4" s="32">
        <v>1</v>
      </c>
      <c r="B4" s="33" t="s">
        <v>45</v>
      </c>
      <c r="C4" s="34" t="s">
        <v>46</v>
      </c>
      <c r="D4" s="35" t="s">
        <v>47</v>
      </c>
      <c r="E4" s="33" t="s">
        <v>48</v>
      </c>
      <c r="F4" s="32">
        <v>2</v>
      </c>
      <c r="G4" s="35">
        <v>2</v>
      </c>
      <c r="H4" s="38">
        <v>2</v>
      </c>
      <c r="I4" s="32">
        <v>0</v>
      </c>
      <c r="J4" s="40" t="s">
        <v>37</v>
      </c>
      <c r="K4" s="40" t="s">
        <v>49</v>
      </c>
      <c r="L4" s="41" t="s">
        <v>50</v>
      </c>
      <c r="M4" s="41" t="s">
        <v>38</v>
      </c>
      <c r="N4" s="41" t="s">
        <v>51</v>
      </c>
      <c r="O4" s="43" t="s">
        <v>42</v>
      </c>
      <c r="P4" s="44" t="s">
        <v>39</v>
      </c>
      <c r="Q4" s="45" t="s">
        <v>40</v>
      </c>
      <c r="R4" s="45" t="s">
        <v>41</v>
      </c>
      <c r="S4" s="45" t="s">
        <v>41</v>
      </c>
      <c r="T4" s="32"/>
    </row>
  </sheetData>
  <mergeCells count="16">
    <mergeCell ref="T2:T3"/>
    <mergeCell ref="A1:D1"/>
    <mergeCell ref="G2:I2"/>
    <mergeCell ref="O2:P2"/>
    <mergeCell ref="Q2:S2"/>
    <mergeCell ref="A2:A3"/>
    <mergeCell ref="B2:B3"/>
    <mergeCell ref="C2:C3"/>
    <mergeCell ref="D2:D3"/>
    <mergeCell ref="E2:E3"/>
    <mergeCell ref="F2:F3"/>
    <mergeCell ref="J2:J3"/>
    <mergeCell ref="K2:K3"/>
    <mergeCell ref="L2:L3"/>
    <mergeCell ref="M2:M3"/>
    <mergeCell ref="N2:N3"/>
  </mergeCells>
  <pageMargins left="0.25" right="0.25" top="0.75" bottom="0.75" header="0.51180555555555496" footer="0.51180555555555496"/>
  <pageSetup firstPageNumber="0" fitToHeight="0" orientation="landscape" useFirstPageNumber="1"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19"/>
  <sheetViews>
    <sheetView topLeftCell="A13" zoomScale="85" zoomScaleNormal="85" workbookViewId="0">
      <selection activeCell="I15" sqref="I15"/>
    </sheetView>
  </sheetViews>
  <sheetFormatPr defaultColWidth="9" defaultRowHeight="15"/>
  <cols>
    <col min="1" max="1" width="4.42578125" style="2" customWidth="1"/>
    <col min="2" max="2" width="23.7109375" style="3" customWidth="1"/>
    <col min="3" max="3" width="32.7109375" style="3" customWidth="1"/>
    <col min="4" max="4" width="27.42578125" style="3" customWidth="1"/>
    <col min="5" max="5" width="10" style="3" customWidth="1"/>
    <col min="6" max="7" width="14.85546875" style="3" customWidth="1"/>
    <col min="8" max="8" width="28.7109375" style="3" customWidth="1"/>
    <col min="9" max="9" width="36.42578125" style="4" customWidth="1"/>
    <col min="10" max="10" width="36.42578125" style="3" customWidth="1"/>
    <col min="11" max="1025" width="9" customWidth="1"/>
  </cols>
  <sheetData>
    <row r="1" spans="1:66" ht="39.950000000000003" customHeight="1">
      <c r="A1" s="108" t="s">
        <v>52</v>
      </c>
      <c r="B1" s="108"/>
      <c r="C1" s="108"/>
      <c r="D1" s="108"/>
      <c r="E1" s="108"/>
      <c r="F1" s="108"/>
      <c r="G1" s="108"/>
      <c r="H1" s="108"/>
      <c r="I1" s="108"/>
      <c r="J1" s="108"/>
    </row>
    <row r="2" spans="1:66" ht="15" customHeight="1">
      <c r="A2" s="5" t="s">
        <v>53</v>
      </c>
      <c r="B2" s="109" t="s">
        <v>54</v>
      </c>
      <c r="C2" s="109"/>
      <c r="D2" s="109"/>
      <c r="E2" s="16"/>
      <c r="F2" s="16"/>
      <c r="G2" s="16"/>
      <c r="H2" s="16"/>
      <c r="I2" s="16"/>
      <c r="J2" s="18"/>
    </row>
    <row r="3" spans="1:66" s="1" customFormat="1" ht="25.5">
      <c r="A3" s="6" t="s">
        <v>1</v>
      </c>
      <c r="B3" s="6" t="s">
        <v>55</v>
      </c>
      <c r="C3" s="6" t="s">
        <v>17</v>
      </c>
      <c r="D3" s="6" t="s">
        <v>43</v>
      </c>
      <c r="E3" s="17" t="s">
        <v>56</v>
      </c>
      <c r="F3" s="6" t="s">
        <v>28</v>
      </c>
      <c r="G3" s="18"/>
      <c r="H3" s="19"/>
      <c r="I3" s="19"/>
      <c r="J3" s="18"/>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s="26"/>
    </row>
    <row r="4" spans="1:66" s="1" customFormat="1" ht="25.5">
      <c r="A4" s="7">
        <f>ROW()-3</f>
        <v>1</v>
      </c>
      <c r="B4" s="8" t="s">
        <v>57</v>
      </c>
      <c r="C4" s="9" t="s">
        <v>58</v>
      </c>
      <c r="D4" s="10">
        <v>3</v>
      </c>
      <c r="E4" s="20" t="s">
        <v>59</v>
      </c>
      <c r="F4" s="21" t="s">
        <v>60</v>
      </c>
      <c r="G4" s="22"/>
      <c r="H4" s="19"/>
      <c r="I4" s="19"/>
      <c r="J4" s="18"/>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s="26"/>
    </row>
    <row r="5" spans="1:66" s="1" customFormat="1" ht="38.25">
      <c r="A5" s="7">
        <v>2</v>
      </c>
      <c r="B5" s="8" t="s">
        <v>61</v>
      </c>
      <c r="C5" s="9" t="s">
        <v>62</v>
      </c>
      <c r="D5" s="10">
        <v>3</v>
      </c>
      <c r="E5" s="20" t="s">
        <v>59</v>
      </c>
      <c r="F5" s="21" t="s">
        <v>60</v>
      </c>
      <c r="G5" s="22"/>
      <c r="H5" s="19"/>
      <c r="I5" s="19"/>
      <c r="J5" s="18"/>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s="26"/>
    </row>
    <row r="6" spans="1:66" s="1" customFormat="1" ht="30" customHeight="1">
      <c r="A6" s="7">
        <f>ROW()-3</f>
        <v>3</v>
      </c>
      <c r="B6" s="11" t="s">
        <v>63</v>
      </c>
      <c r="C6" s="9" t="s">
        <v>64</v>
      </c>
      <c r="D6" s="10">
        <v>4</v>
      </c>
      <c r="E6" s="20" t="s">
        <v>59</v>
      </c>
      <c r="F6" s="21" t="s">
        <v>65</v>
      </c>
      <c r="G6" s="22"/>
      <c r="H6" s="19"/>
      <c r="I6" s="19"/>
      <c r="J6" s="18"/>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s="26"/>
    </row>
    <row r="7" spans="1:66" s="1" customFormat="1" ht="25.5">
      <c r="A7" s="7">
        <f>ROW()-3</f>
        <v>4</v>
      </c>
      <c r="B7" s="11" t="s">
        <v>66</v>
      </c>
      <c r="C7" s="9" t="s">
        <v>67</v>
      </c>
      <c r="D7" s="10">
        <v>3</v>
      </c>
      <c r="E7" s="20" t="s">
        <v>59</v>
      </c>
      <c r="F7" s="21" t="s">
        <v>65</v>
      </c>
      <c r="G7" s="22"/>
      <c r="H7" s="19"/>
      <c r="I7" s="19"/>
      <c r="J7" s="18"/>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s="26"/>
    </row>
    <row r="8" spans="1:66" s="1" customFormat="1" ht="25.5">
      <c r="A8" s="7">
        <v>5</v>
      </c>
      <c r="B8" s="11" t="s">
        <v>68</v>
      </c>
      <c r="C8" s="9" t="s">
        <v>69</v>
      </c>
      <c r="D8" s="10">
        <v>3</v>
      </c>
      <c r="E8" s="23"/>
      <c r="F8" s="12"/>
      <c r="G8" s="19"/>
      <c r="H8" s="19"/>
      <c r="I8" s="19"/>
      <c r="J8" s="1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s="26"/>
    </row>
    <row r="9" spans="1:66" s="1" customFormat="1" ht="25.5">
      <c r="A9" s="7">
        <f>ROW()-3</f>
        <v>6</v>
      </c>
      <c r="B9" s="11" t="s">
        <v>70</v>
      </c>
      <c r="C9" s="9" t="s">
        <v>71</v>
      </c>
      <c r="D9" s="10">
        <v>3</v>
      </c>
      <c r="E9" s="23"/>
      <c r="F9" s="12"/>
      <c r="G9" s="19"/>
      <c r="H9" s="19"/>
      <c r="I9" s="19"/>
      <c r="J9" s="18"/>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s="26"/>
    </row>
    <row r="10" spans="1:66" s="1" customFormat="1">
      <c r="A10" s="6"/>
      <c r="B10" s="12"/>
      <c r="C10" s="12"/>
      <c r="D10" s="12"/>
      <c r="E10" s="23"/>
      <c r="F10" s="12"/>
      <c r="G10" s="19"/>
      <c r="H10" s="19"/>
      <c r="I10" s="19"/>
      <c r="J10" s="18"/>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s="26"/>
    </row>
    <row r="11" spans="1:66" ht="15" customHeight="1">
      <c r="A11" s="5" t="s">
        <v>72</v>
      </c>
      <c r="B11" s="109" t="s">
        <v>73</v>
      </c>
      <c r="C11" s="109"/>
      <c r="D11" s="109"/>
      <c r="E11" s="109"/>
      <c r="F11" s="109"/>
      <c r="G11" s="109"/>
      <c r="H11" s="109"/>
      <c r="I11" s="109"/>
      <c r="J11" s="18"/>
    </row>
    <row r="12" spans="1:66" ht="27.95" customHeight="1">
      <c r="A12" s="13" t="s">
        <v>1</v>
      </c>
      <c r="B12" s="14" t="s">
        <v>74</v>
      </c>
      <c r="C12" s="14" t="s">
        <v>16</v>
      </c>
      <c r="D12" s="14" t="s">
        <v>18</v>
      </c>
      <c r="E12" s="14" t="s">
        <v>22</v>
      </c>
      <c r="F12" s="24" t="s">
        <v>21</v>
      </c>
      <c r="G12" s="24" t="s">
        <v>75</v>
      </c>
      <c r="H12" s="14" t="s">
        <v>23</v>
      </c>
      <c r="I12" s="14" t="s">
        <v>24</v>
      </c>
      <c r="J12" s="14" t="s">
        <v>25</v>
      </c>
    </row>
    <row r="13" spans="1:66" ht="84" customHeight="1">
      <c r="A13" s="8">
        <v>1</v>
      </c>
      <c r="B13" s="15" t="s">
        <v>76</v>
      </c>
      <c r="C13" s="15" t="s">
        <v>57</v>
      </c>
      <c r="D13" s="10" t="s">
        <v>77</v>
      </c>
      <c r="E13" s="10" t="s">
        <v>78</v>
      </c>
      <c r="F13" s="10" t="s">
        <v>79</v>
      </c>
      <c r="G13" s="21" t="s">
        <v>60</v>
      </c>
      <c r="H13" s="25" t="s">
        <v>80</v>
      </c>
      <c r="I13" s="15" t="s">
        <v>38</v>
      </c>
      <c r="J13" s="9" t="s">
        <v>81</v>
      </c>
    </row>
    <row r="14" spans="1:66" ht="93" customHeight="1">
      <c r="A14" s="8">
        <v>2</v>
      </c>
      <c r="B14" s="15" t="s">
        <v>76</v>
      </c>
      <c r="C14" s="15" t="s">
        <v>82</v>
      </c>
      <c r="D14" s="10" t="s">
        <v>83</v>
      </c>
      <c r="E14" s="10" t="s">
        <v>78</v>
      </c>
      <c r="F14" s="10" t="s">
        <v>79</v>
      </c>
      <c r="G14" s="21" t="s">
        <v>60</v>
      </c>
      <c r="H14" s="25" t="s">
        <v>84</v>
      </c>
      <c r="I14" s="15" t="s">
        <v>85</v>
      </c>
      <c r="J14" s="9" t="s">
        <v>81</v>
      </c>
    </row>
    <row r="15" spans="1:66" ht="102">
      <c r="A15" s="8">
        <v>3</v>
      </c>
      <c r="B15" s="15" t="s">
        <v>76</v>
      </c>
      <c r="C15" s="10" t="s">
        <v>63</v>
      </c>
      <c r="D15" s="10" t="s">
        <v>86</v>
      </c>
      <c r="E15" s="10" t="s">
        <v>78</v>
      </c>
      <c r="F15" s="10" t="s">
        <v>79</v>
      </c>
      <c r="G15" s="21" t="s">
        <v>65</v>
      </c>
      <c r="H15" s="25" t="s">
        <v>87</v>
      </c>
      <c r="I15" s="15" t="s">
        <v>88</v>
      </c>
      <c r="J15" s="9" t="s">
        <v>81</v>
      </c>
    </row>
    <row r="16" spans="1:66" ht="84.75" customHeight="1">
      <c r="A16" s="8">
        <v>4</v>
      </c>
      <c r="B16" s="15" t="s">
        <v>76</v>
      </c>
      <c r="C16" s="10" t="s">
        <v>66</v>
      </c>
      <c r="D16" s="10" t="s">
        <v>89</v>
      </c>
      <c r="E16" s="10" t="s">
        <v>78</v>
      </c>
      <c r="F16" s="10" t="s">
        <v>79</v>
      </c>
      <c r="G16" s="21" t="s">
        <v>65</v>
      </c>
      <c r="H16" s="25" t="s">
        <v>90</v>
      </c>
      <c r="I16" s="15" t="s">
        <v>38</v>
      </c>
      <c r="J16" s="9" t="s">
        <v>81</v>
      </c>
    </row>
    <row r="17" spans="1:10" ht="192" customHeight="1">
      <c r="A17" s="8">
        <v>5</v>
      </c>
      <c r="B17" s="15" t="s">
        <v>76</v>
      </c>
      <c r="C17" s="10" t="s">
        <v>91</v>
      </c>
      <c r="D17" s="10" t="s">
        <v>92</v>
      </c>
      <c r="E17" s="10" t="s">
        <v>78</v>
      </c>
      <c r="F17" s="10" t="s">
        <v>79</v>
      </c>
      <c r="G17" s="10"/>
      <c r="H17" s="9" t="s">
        <v>93</v>
      </c>
      <c r="I17" s="9" t="s">
        <v>94</v>
      </c>
      <c r="J17" s="9" t="s">
        <v>81</v>
      </c>
    </row>
    <row r="18" spans="1:10" ht="102">
      <c r="A18" s="8">
        <v>6</v>
      </c>
      <c r="B18" s="15" t="s">
        <v>76</v>
      </c>
      <c r="C18" s="10" t="s">
        <v>70</v>
      </c>
      <c r="D18" s="10" t="s">
        <v>95</v>
      </c>
      <c r="E18" s="10" t="s">
        <v>78</v>
      </c>
      <c r="F18" s="10" t="s">
        <v>79</v>
      </c>
      <c r="G18" s="15"/>
      <c r="H18" s="25" t="s">
        <v>96</v>
      </c>
      <c r="I18" s="10" t="s">
        <v>97</v>
      </c>
      <c r="J18" s="9" t="s">
        <v>81</v>
      </c>
    </row>
    <row r="19" spans="1:10" ht="64.5" customHeight="1">
      <c r="A19" s="11"/>
      <c r="B19" s="10"/>
      <c r="C19" s="10"/>
      <c r="D19" s="10"/>
      <c r="E19" s="10"/>
      <c r="F19" s="10"/>
      <c r="G19" s="10"/>
      <c r="H19" s="9"/>
      <c r="I19" s="10"/>
      <c r="J19" s="9"/>
    </row>
  </sheetData>
  <mergeCells count="3">
    <mergeCell ref="A1:J1"/>
    <mergeCell ref="B2:D2"/>
    <mergeCell ref="B11:I11"/>
  </mergeCells>
  <pageMargins left="0.7" right="0.51180555555555496" top="0.359722222222222" bottom="0.47222222222222199" header="0.51180555555555496" footer="0.51180555555555496"/>
  <pageSetup scale="65" firstPageNumber="0" orientation="landscape" useFirstPageNumber="1"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Index</vt:lpstr>
      <vt:lpstr>Mô hình</vt:lpstr>
      <vt:lpstr>Index_</vt:lpstr>
      <vt:lpstr>Mo hinh</vt:lpstr>
      <vt:lpstr>server ảo hóa</vt:lpstr>
      <vt:lpstr>Server Vật lý</vt:lpstr>
      <vt:lpstr>FW_LB</vt:lpstr>
      <vt:lpstr>Server ao hoa</vt:lpstr>
      <vt:lpstr>Cài đặt server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datpt6</dc:creator>
  <cp:lastModifiedBy>linhnvc</cp:lastModifiedBy>
  <cp:revision>3</cp:revision>
  <cp:lastPrinted>2020-11-15T17:27:00Z</cp:lastPrinted>
  <dcterms:created xsi:type="dcterms:W3CDTF">2017-07-04T23:19:00Z</dcterms:created>
  <dcterms:modified xsi:type="dcterms:W3CDTF">2024-10-24T04:23:00Z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1033-11.1.0.8392</vt:lpwstr>
  </property>
</Properties>
</file>